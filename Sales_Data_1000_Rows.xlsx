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A1BEE9EE-DE4A-45EB-B5C0-D1034645E18D}" xr6:coauthVersionLast="47" xr6:coauthVersionMax="47" xr10:uidLastSave="{00000000-0000-0000-0000-000000000000}"/>
  <bookViews>
    <workbookView xWindow="-110" yWindow="-110" windowWidth="19420" windowHeight="10300" firstSheet="3" activeTab="6" xr2:uid="{00000000-000D-0000-FFFF-FFFF00000000}"/>
  </bookViews>
  <sheets>
    <sheet name="SalesData" sheetId="1" r:id="rId1"/>
    <sheet name="KPIS OF SALES " sheetId="5" r:id="rId2"/>
    <sheet name="Profit by Region " sheetId="15" r:id="rId3"/>
    <sheet name="TOP 10 PRODUCTS " sheetId="13" r:id="rId4"/>
    <sheet name="Sales by Category " sheetId="8" r:id="rId5"/>
    <sheet name="Sales by Regions " sheetId="7" r:id="rId6"/>
    <sheet name="Dashboard " sheetId="16" r:id="rId7"/>
  </sheets>
  <definedNames>
    <definedName name="Slicer_Category">#N/A</definedName>
    <definedName name="Slicer_Region">#N/A</definedName>
    <definedName name="Slicer_Segment">#N/A</definedName>
  </definedNames>
  <calcPr calcId="191029"/>
  <pivotCaches>
    <pivotCache cacheId="2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6" l="1"/>
  <c r="E11" i="16"/>
  <c r="A11" i="16"/>
  <c r="I5" i="16"/>
  <c r="E5" i="16"/>
  <c r="A5" i="16"/>
</calcChain>
</file>

<file path=xl/sharedStrings.xml><?xml version="1.0" encoding="utf-8"?>
<sst xmlns="http://schemas.openxmlformats.org/spreadsheetml/2006/main" count="8057" uniqueCount="1245">
  <si>
    <t>Order ID</t>
  </si>
  <si>
    <t>Order Date</t>
  </si>
  <si>
    <t>Region</t>
  </si>
  <si>
    <t>State</t>
  </si>
  <si>
    <t>Category</t>
  </si>
  <si>
    <t>Sub-Category</t>
  </si>
  <si>
    <t>Product</t>
  </si>
  <si>
    <t>Sales</t>
  </si>
  <si>
    <t>Profit</t>
  </si>
  <si>
    <t>Quantity</t>
  </si>
  <si>
    <t>Segment</t>
  </si>
  <si>
    <t>Salesperson</t>
  </si>
  <si>
    <t>ORD10002</t>
  </si>
  <si>
    <t>North</t>
  </si>
  <si>
    <t>Haryana</t>
  </si>
  <si>
    <t>Technology</t>
  </si>
  <si>
    <t>Laptop</t>
  </si>
  <si>
    <t>Laptop Model 8</t>
  </si>
  <si>
    <t>Home Office</t>
  </si>
  <si>
    <t>Neha</t>
  </si>
  <si>
    <t>ORD10003</t>
  </si>
  <si>
    <t>South</t>
  </si>
  <si>
    <t>Tamil Nadu</t>
  </si>
  <si>
    <t>Office Supplies</t>
  </si>
  <si>
    <t>Paper</t>
  </si>
  <si>
    <t>Paper Model 7</t>
  </si>
  <si>
    <t>Consumer</t>
  </si>
  <si>
    <t>Priya</t>
  </si>
  <si>
    <t>ORD10004</t>
  </si>
  <si>
    <t>Punjab</t>
  </si>
  <si>
    <t>Mouse</t>
  </si>
  <si>
    <t>Mouse Model 12</t>
  </si>
  <si>
    <t>Corporate</t>
  </si>
  <si>
    <t>Sneha</t>
  </si>
  <si>
    <t>ORD10005</t>
  </si>
  <si>
    <t>East</t>
  </si>
  <si>
    <t>West Bengal</t>
  </si>
  <si>
    <t>Mouse Model 10</t>
  </si>
  <si>
    <t>ORD10006</t>
  </si>
  <si>
    <t>Odisha</t>
  </si>
  <si>
    <t>Printer</t>
  </si>
  <si>
    <t>Printer Model 20</t>
  </si>
  <si>
    <t>Rohit</t>
  </si>
  <si>
    <t>ORD10007</t>
  </si>
  <si>
    <t>Printer Model 13</t>
  </si>
  <si>
    <t>ORD10008</t>
  </si>
  <si>
    <t>West</t>
  </si>
  <si>
    <t>Rajasthan</t>
  </si>
  <si>
    <t>Mouse Model 16</t>
  </si>
  <si>
    <t>ORD10009</t>
  </si>
  <si>
    <t>Bihar</t>
  </si>
  <si>
    <t>Furniture</t>
  </si>
  <si>
    <t>Table</t>
  </si>
  <si>
    <t>Table Model 11</t>
  </si>
  <si>
    <t>Rahul</t>
  </si>
  <si>
    <t>ORD10010</t>
  </si>
  <si>
    <t>Gujarat</t>
  </si>
  <si>
    <t>Mouse Model 5</t>
  </si>
  <si>
    <t>Anjali</t>
  </si>
  <si>
    <t>ORD10011</t>
  </si>
  <si>
    <t>Table Model 14</t>
  </si>
  <si>
    <t>Amit</t>
  </si>
  <si>
    <t>ORD10012</t>
  </si>
  <si>
    <t>Mouse Model 13</t>
  </si>
  <si>
    <t>ORD10013</t>
  </si>
  <si>
    <t>Telangana</t>
  </si>
  <si>
    <t>Chair</t>
  </si>
  <si>
    <t>Chair Model 5</t>
  </si>
  <si>
    <t>ORD10014</t>
  </si>
  <si>
    <t>Binder</t>
  </si>
  <si>
    <t>Binder Model 20</t>
  </si>
  <si>
    <t>ORD10015</t>
  </si>
  <si>
    <t>Mouse Model 20</t>
  </si>
  <si>
    <t>ORD10016</t>
  </si>
  <si>
    <t>Bookcase</t>
  </si>
  <si>
    <t>Bookcase Model 12</t>
  </si>
  <si>
    <t>ORD10017</t>
  </si>
  <si>
    <t>Printer Model 5</t>
  </si>
  <si>
    <t>Karan</t>
  </si>
  <si>
    <t>ORD10018</t>
  </si>
  <si>
    <t>Table Model 1</t>
  </si>
  <si>
    <t>ORD10019</t>
  </si>
  <si>
    <t>Delhi</t>
  </si>
  <si>
    <t>Mouse Model 18</t>
  </si>
  <si>
    <t>ORD10020</t>
  </si>
  <si>
    <t>Chair Model 16</t>
  </si>
  <si>
    <t>ORD10021</t>
  </si>
  <si>
    <t>Paper Model 3</t>
  </si>
  <si>
    <t>ORD10022</t>
  </si>
  <si>
    <t>Maharashtra</t>
  </si>
  <si>
    <t>Laptop Model 4</t>
  </si>
  <si>
    <t>ORD10023</t>
  </si>
  <si>
    <t>Pen</t>
  </si>
  <si>
    <t>Pen Model 1</t>
  </si>
  <si>
    <t>ORD10024</t>
  </si>
  <si>
    <t>ORD10025</t>
  </si>
  <si>
    <t>Chair Model 6</t>
  </si>
  <si>
    <t>ORD10026</t>
  </si>
  <si>
    <t>Binder Model 10</t>
  </si>
  <si>
    <t>ORD10027</t>
  </si>
  <si>
    <t>Pen Model 12</t>
  </si>
  <si>
    <t>ORD10028</t>
  </si>
  <si>
    <t>ORD10029</t>
  </si>
  <si>
    <t>Paper Model 2</t>
  </si>
  <si>
    <t>ORD10030</t>
  </si>
  <si>
    <t>Mouse Model 6</t>
  </si>
  <si>
    <t>ORD10031</t>
  </si>
  <si>
    <t>Binder Model 15</t>
  </si>
  <si>
    <t>ORD10032</t>
  </si>
  <si>
    <t>Pen Model 9</t>
  </si>
  <si>
    <t>ORD10033</t>
  </si>
  <si>
    <t>Table Model 4</t>
  </si>
  <si>
    <t>ORD10034</t>
  </si>
  <si>
    <t>ORD10035</t>
  </si>
  <si>
    <t>ORD10036</t>
  </si>
  <si>
    <t>Binder Model 7</t>
  </si>
  <si>
    <t>ORD10037</t>
  </si>
  <si>
    <t>Laptop Model 3</t>
  </si>
  <si>
    <t>ORD10038</t>
  </si>
  <si>
    <t>Table Model 18</t>
  </si>
  <si>
    <t>ORD10039</t>
  </si>
  <si>
    <t>Table Model 9</t>
  </si>
  <si>
    <t>ORD10040</t>
  </si>
  <si>
    <t>Paper Model 17</t>
  </si>
  <si>
    <t>ORD10041</t>
  </si>
  <si>
    <t>Laptop Model 7</t>
  </si>
  <si>
    <t>ORD10042</t>
  </si>
  <si>
    <t>Printer Model 1</t>
  </si>
  <si>
    <t>ORD10043</t>
  </si>
  <si>
    <t>Pen Model 8</t>
  </si>
  <si>
    <t>ORD10044</t>
  </si>
  <si>
    <t>ORD10045</t>
  </si>
  <si>
    <t>Bookcase Model 16</t>
  </si>
  <si>
    <t>ORD10046</t>
  </si>
  <si>
    <t>Karnataka</t>
  </si>
  <si>
    <t>ORD10047</t>
  </si>
  <si>
    <t>Laptop Model 10</t>
  </si>
  <si>
    <t>ORD10048</t>
  </si>
  <si>
    <t>Chair Model 18</t>
  </si>
  <si>
    <t>ORD10049</t>
  </si>
  <si>
    <t>Table Model 5</t>
  </si>
  <si>
    <t>ORD10050</t>
  </si>
  <si>
    <t>Pen Model 13</t>
  </si>
  <si>
    <t>ORD10051</t>
  </si>
  <si>
    <t>Printer Model 17</t>
  </si>
  <si>
    <t>ORD10052</t>
  </si>
  <si>
    <t>ORD10053</t>
  </si>
  <si>
    <t>Binder Model 12</t>
  </si>
  <si>
    <t>ORD10054</t>
  </si>
  <si>
    <t>Paper Model 14</t>
  </si>
  <si>
    <t>ORD10055</t>
  </si>
  <si>
    <t>Pen Model 6</t>
  </si>
  <si>
    <t>ORD10056</t>
  </si>
  <si>
    <t>Paper Model 20</t>
  </si>
  <si>
    <t>ORD10057</t>
  </si>
  <si>
    <t>ORD10058</t>
  </si>
  <si>
    <t>Laptop Model 19</t>
  </si>
  <si>
    <t>ORD10059</t>
  </si>
  <si>
    <t>Paper Model 5</t>
  </si>
  <si>
    <t>ORD10060</t>
  </si>
  <si>
    <t>ORD10061</t>
  </si>
  <si>
    <t>Binder Model 11</t>
  </si>
  <si>
    <t>ORD10062</t>
  </si>
  <si>
    <t>Printer Model 2</t>
  </si>
  <si>
    <t>ORD10063</t>
  </si>
  <si>
    <t>Pen Model 19</t>
  </si>
  <si>
    <t>ORD10064</t>
  </si>
  <si>
    <t>Binder Model 2</t>
  </si>
  <si>
    <t>ORD10065</t>
  </si>
  <si>
    <t>Paper Model 9</t>
  </si>
  <si>
    <t>ORD10066</t>
  </si>
  <si>
    <t>Bookcase Model 1</t>
  </si>
  <si>
    <t>ORD10067</t>
  </si>
  <si>
    <t>Chair Model 9</t>
  </si>
  <si>
    <t>ORD10068</t>
  </si>
  <si>
    <t>ORD10069</t>
  </si>
  <si>
    <t>Printer Model 16</t>
  </si>
  <si>
    <t>ORD10070</t>
  </si>
  <si>
    <t>ORD10071</t>
  </si>
  <si>
    <t>Laptop Model 16</t>
  </si>
  <si>
    <t>ORD10072</t>
  </si>
  <si>
    <t>Laptop Model 11</t>
  </si>
  <si>
    <t>ORD10073</t>
  </si>
  <si>
    <t>Pen Model 10</t>
  </si>
  <si>
    <t>ORD10074</t>
  </si>
  <si>
    <t>Table Model 15</t>
  </si>
  <si>
    <t>ORD10075</t>
  </si>
  <si>
    <t>Bookcase Model 2</t>
  </si>
  <si>
    <t>ORD10076</t>
  </si>
  <si>
    <t>ORD10077</t>
  </si>
  <si>
    <t>Paper Model 1</t>
  </si>
  <si>
    <t>ORD10078</t>
  </si>
  <si>
    <t>ORD10079</t>
  </si>
  <si>
    <t>Bookcase Model 13</t>
  </si>
  <si>
    <t>ORD10080</t>
  </si>
  <si>
    <t>Pen Model 17</t>
  </si>
  <si>
    <t>ORD10081</t>
  </si>
  <si>
    <t>Printer Model 6</t>
  </si>
  <si>
    <t>ORD10082</t>
  </si>
  <si>
    <t>Laptop Model 18</t>
  </si>
  <si>
    <t>ORD10083</t>
  </si>
  <si>
    <t>Table Model 20</t>
  </si>
  <si>
    <t>ORD10084</t>
  </si>
  <si>
    <t>ORD10085</t>
  </si>
  <si>
    <t>Laptop Model 15</t>
  </si>
  <si>
    <t>ORD10086</t>
  </si>
  <si>
    <t>Chair Model 11</t>
  </si>
  <si>
    <t>ORD10087</t>
  </si>
  <si>
    <t>Binder Model 14</t>
  </si>
  <si>
    <t>ORD10088</t>
  </si>
  <si>
    <t>Bookcase Model 6</t>
  </si>
  <si>
    <t>ORD10089</t>
  </si>
  <si>
    <t>Paper Model 11</t>
  </si>
  <si>
    <t>ORD10090</t>
  </si>
  <si>
    <t>ORD10091</t>
  </si>
  <si>
    <t>Laptop Model 2</t>
  </si>
  <si>
    <t>ORD10092</t>
  </si>
  <si>
    <t>ORD10093</t>
  </si>
  <si>
    <t>Binder Model 6</t>
  </si>
  <si>
    <t>ORD10094</t>
  </si>
  <si>
    <t>ORD10095</t>
  </si>
  <si>
    <t>Table Model 6</t>
  </si>
  <si>
    <t>ORD10096</t>
  </si>
  <si>
    <t>ORD10097</t>
  </si>
  <si>
    <t>Chair Model 14</t>
  </si>
  <si>
    <t>ORD10098</t>
  </si>
  <si>
    <t>ORD10099</t>
  </si>
  <si>
    <t>ORD10100</t>
  </si>
  <si>
    <t>ORD10101</t>
  </si>
  <si>
    <t>ORD10102</t>
  </si>
  <si>
    <t>ORD10103</t>
  </si>
  <si>
    <t>ORD10104</t>
  </si>
  <si>
    <t>ORD10105</t>
  </si>
  <si>
    <t>ORD10106</t>
  </si>
  <si>
    <t>ORD10107</t>
  </si>
  <si>
    <t>ORD10108</t>
  </si>
  <si>
    <t>Mouse Model 11</t>
  </si>
  <si>
    <t>ORD10109</t>
  </si>
  <si>
    <t>ORD10110</t>
  </si>
  <si>
    <t>Chair Model 3</t>
  </si>
  <si>
    <t>ORD10111</t>
  </si>
  <si>
    <t>ORD10112</t>
  </si>
  <si>
    <t>Chair Model 19</t>
  </si>
  <si>
    <t>ORD10113</t>
  </si>
  <si>
    <t>Chair Model 7</t>
  </si>
  <si>
    <t>ORD10114</t>
  </si>
  <si>
    <t>Printer Model 8</t>
  </si>
  <si>
    <t>ORD10115</t>
  </si>
  <si>
    <t>ORD10116</t>
  </si>
  <si>
    <t>Printer Model 12</t>
  </si>
  <si>
    <t>ORD10117</t>
  </si>
  <si>
    <t>Bookcase Model 3</t>
  </si>
  <si>
    <t>ORD10118</t>
  </si>
  <si>
    <t>Binder Model 8</t>
  </si>
  <si>
    <t>ORD10119</t>
  </si>
  <si>
    <t>ORD10120</t>
  </si>
  <si>
    <t>Bookcase Model 11</t>
  </si>
  <si>
    <t>ORD10121</t>
  </si>
  <si>
    <t>Printer Model 4</t>
  </si>
  <si>
    <t>ORD10122</t>
  </si>
  <si>
    <t>ORD10123</t>
  </si>
  <si>
    <t>ORD10124</t>
  </si>
  <si>
    <t>Pen Model 14</t>
  </si>
  <si>
    <t>ORD10125</t>
  </si>
  <si>
    <t>ORD10126</t>
  </si>
  <si>
    <t>Paper Model 12</t>
  </si>
  <si>
    <t>ORD10127</t>
  </si>
  <si>
    <t>Bookcase Model 8</t>
  </si>
  <si>
    <t>ORD10128</t>
  </si>
  <si>
    <t>Laptop Model 5</t>
  </si>
  <si>
    <t>ORD10129</t>
  </si>
  <si>
    <t>Mouse Model 14</t>
  </si>
  <si>
    <t>ORD10130</t>
  </si>
  <si>
    <t>ORD10131</t>
  </si>
  <si>
    <t>ORD10132</t>
  </si>
  <si>
    <t>ORD10133</t>
  </si>
  <si>
    <t>ORD10134</t>
  </si>
  <si>
    <t>Bookcase Model 19</t>
  </si>
  <si>
    <t>ORD10135</t>
  </si>
  <si>
    <t>Table Model 16</t>
  </si>
  <si>
    <t>ORD10136</t>
  </si>
  <si>
    <t>Paper Model 16</t>
  </si>
  <si>
    <t>ORD10137</t>
  </si>
  <si>
    <t>ORD10138</t>
  </si>
  <si>
    <t>Laptop Model 17</t>
  </si>
  <si>
    <t>ORD10139</t>
  </si>
  <si>
    <t>ORD10140</t>
  </si>
  <si>
    <t>ORD10141</t>
  </si>
  <si>
    <t>ORD10142</t>
  </si>
  <si>
    <t>Table Model 10</t>
  </si>
  <si>
    <t>ORD10143</t>
  </si>
  <si>
    <t>Table Model 19</t>
  </si>
  <si>
    <t>ORD10144</t>
  </si>
  <si>
    <t>ORD10145</t>
  </si>
  <si>
    <t>Bookcase Model 17</t>
  </si>
  <si>
    <t>ORD10146</t>
  </si>
  <si>
    <t>ORD10147</t>
  </si>
  <si>
    <t>Mouse Model 17</t>
  </si>
  <si>
    <t>ORD10148</t>
  </si>
  <si>
    <t>Paper Model 4</t>
  </si>
  <si>
    <t>ORD10149</t>
  </si>
  <si>
    <t>ORD10150</t>
  </si>
  <si>
    <t>Bookcase Model 4</t>
  </si>
  <si>
    <t>ORD10151</t>
  </si>
  <si>
    <t>ORD10152</t>
  </si>
  <si>
    <t>Bookcase Model 9</t>
  </si>
  <si>
    <t>ORD10153</t>
  </si>
  <si>
    <t>ORD10154</t>
  </si>
  <si>
    <t>ORD10155</t>
  </si>
  <si>
    <t>ORD10156</t>
  </si>
  <si>
    <t>ORD10157</t>
  </si>
  <si>
    <t>ORD10158</t>
  </si>
  <si>
    <t>ORD10159</t>
  </si>
  <si>
    <t>Pen Model 15</t>
  </si>
  <si>
    <t>ORD10160</t>
  </si>
  <si>
    <t>ORD10161</t>
  </si>
  <si>
    <t>Table Model 8</t>
  </si>
  <si>
    <t>ORD10162</t>
  </si>
  <si>
    <t>Paper Model 8</t>
  </si>
  <si>
    <t>ORD10163</t>
  </si>
  <si>
    <t>Bookcase Model 18</t>
  </si>
  <si>
    <t>ORD10164</t>
  </si>
  <si>
    <t>Mouse Model 9</t>
  </si>
  <si>
    <t>ORD10165</t>
  </si>
  <si>
    <t>Bookcase Model 10</t>
  </si>
  <si>
    <t>ORD10166</t>
  </si>
  <si>
    <t>ORD10167</t>
  </si>
  <si>
    <t>Laptop Model 13</t>
  </si>
  <si>
    <t>ORD10168</t>
  </si>
  <si>
    <t>Paper Model 15</t>
  </si>
  <si>
    <t>ORD10169</t>
  </si>
  <si>
    <t>ORD10170</t>
  </si>
  <si>
    <t>ORD10171</t>
  </si>
  <si>
    <t>Pen Model 20</t>
  </si>
  <si>
    <t>ORD10172</t>
  </si>
  <si>
    <t>Mouse Model 1</t>
  </si>
  <si>
    <t>ORD10173</t>
  </si>
  <si>
    <t>ORD10174</t>
  </si>
  <si>
    <t>ORD10175</t>
  </si>
  <si>
    <t>ORD10176</t>
  </si>
  <si>
    <t>Mouse Model 15</t>
  </si>
  <si>
    <t>ORD10177</t>
  </si>
  <si>
    <t>ORD10178</t>
  </si>
  <si>
    <t>Chair Model 17</t>
  </si>
  <si>
    <t>ORD10179</t>
  </si>
  <si>
    <t>ORD10180</t>
  </si>
  <si>
    <t>ORD10181</t>
  </si>
  <si>
    <t>Printer Model 9</t>
  </si>
  <si>
    <t>ORD10182</t>
  </si>
  <si>
    <t>Binder Model 1</t>
  </si>
  <si>
    <t>ORD10183</t>
  </si>
  <si>
    <t>Chair Model 12</t>
  </si>
  <si>
    <t>ORD10184</t>
  </si>
  <si>
    <t>ORD10185</t>
  </si>
  <si>
    <t>ORD10186</t>
  </si>
  <si>
    <t>Binder Model 4</t>
  </si>
  <si>
    <t>ORD10187</t>
  </si>
  <si>
    <t>ORD10188</t>
  </si>
  <si>
    <t>ORD10189</t>
  </si>
  <si>
    <t>ORD10190</t>
  </si>
  <si>
    <t>ORD10191</t>
  </si>
  <si>
    <t>ORD10192</t>
  </si>
  <si>
    <t>Chair Model 8</t>
  </si>
  <si>
    <t>ORD10193</t>
  </si>
  <si>
    <t>ORD10194</t>
  </si>
  <si>
    <t>Binder Model 18</t>
  </si>
  <si>
    <t>ORD10195</t>
  </si>
  <si>
    <t>ORD10196</t>
  </si>
  <si>
    <t>ORD10197</t>
  </si>
  <si>
    <t>ORD10198</t>
  </si>
  <si>
    <t>ORD10199</t>
  </si>
  <si>
    <t>ORD10200</t>
  </si>
  <si>
    <t>ORD10201</t>
  </si>
  <si>
    <t>Bookcase Model 20</t>
  </si>
  <si>
    <t>ORD10202</t>
  </si>
  <si>
    <t>ORD10203</t>
  </si>
  <si>
    <t>ORD10204</t>
  </si>
  <si>
    <t>ORD10205</t>
  </si>
  <si>
    <t>ORD10206</t>
  </si>
  <si>
    <t>Mouse Model 8</t>
  </si>
  <si>
    <t>ORD10207</t>
  </si>
  <si>
    <t>ORD10208</t>
  </si>
  <si>
    <t>ORD10209</t>
  </si>
  <si>
    <t>ORD10210</t>
  </si>
  <si>
    <t>ORD10211</t>
  </si>
  <si>
    <t>Table Model 17</t>
  </si>
  <si>
    <t>ORD10212</t>
  </si>
  <si>
    <t>ORD10213</t>
  </si>
  <si>
    <t>ORD10214</t>
  </si>
  <si>
    <t>ORD10215</t>
  </si>
  <si>
    <t>ORD10216</t>
  </si>
  <si>
    <t>ORD10217</t>
  </si>
  <si>
    <t>ORD10218</t>
  </si>
  <si>
    <t>ORD10219</t>
  </si>
  <si>
    <t>ORD10220</t>
  </si>
  <si>
    <t>ORD10221</t>
  </si>
  <si>
    <t>Chair Model 10</t>
  </si>
  <si>
    <t>ORD10222</t>
  </si>
  <si>
    <t>ORD10223</t>
  </si>
  <si>
    <t>Printer Model 3</t>
  </si>
  <si>
    <t>ORD10224</t>
  </si>
  <si>
    <t>ORD10225</t>
  </si>
  <si>
    <t>Laptop Model 14</t>
  </si>
  <si>
    <t>ORD10226</t>
  </si>
  <si>
    <t>Paper Model 19</t>
  </si>
  <si>
    <t>ORD10227</t>
  </si>
  <si>
    <t>ORD10228</t>
  </si>
  <si>
    <t>ORD10229</t>
  </si>
  <si>
    <t>ORD10230</t>
  </si>
  <si>
    <t>ORD10231</t>
  </si>
  <si>
    <t>ORD10232</t>
  </si>
  <si>
    <t>ORD10233</t>
  </si>
  <si>
    <t>Pen Model 3</t>
  </si>
  <si>
    <t>ORD10234</t>
  </si>
  <si>
    <t>ORD10235</t>
  </si>
  <si>
    <t>ORD10236</t>
  </si>
  <si>
    <t>Binder Model 16</t>
  </si>
  <si>
    <t>ORD10237</t>
  </si>
  <si>
    <t>ORD10238</t>
  </si>
  <si>
    <t>ORD10239</t>
  </si>
  <si>
    <t>ORD10240</t>
  </si>
  <si>
    <t>ORD10241</t>
  </si>
  <si>
    <t>Table Model 2</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</si>
  <si>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</si>
  <si>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</si>
  <si>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</si>
  <si>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</si>
  <si>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</si>
  <si>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</si>
  <si>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</si>
  <si>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</si>
  <si>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</si>
  <si>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</si>
  <si>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</si>
  <si>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</si>
  <si>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</si>
  <si>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</si>
  <si>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</si>
  <si>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</si>
  <si>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</si>
  <si>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</si>
  <si>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Pen Model 16</t>
  </si>
  <si>
    <t>ORD10260</t>
  </si>
  <si>
    <t>ORD10261</t>
  </si>
  <si>
    <t>ORD10262</t>
  </si>
  <si>
    <t>ORD10263</t>
  </si>
  <si>
    <t>Pen Model 2</t>
  </si>
  <si>
    <t>ORD10264</t>
  </si>
  <si>
    <t>ORD10265</t>
  </si>
  <si>
    <t>Laptop Model 1</t>
  </si>
  <si>
    <t>ORD10266</t>
  </si>
  <si>
    <t>ORD10267</t>
  </si>
  <si>
    <t>ORD10268</t>
  </si>
  <si>
    <t>ORD10269</t>
  </si>
  <si>
    <t>ORD10270</t>
  </si>
  <si>
    <t>ORD10271</t>
  </si>
  <si>
    <t>ORD10272</t>
  </si>
  <si>
    <t>ORD10273</t>
  </si>
  <si>
    <t>Printer Model 19</t>
  </si>
  <si>
    <t>ORD10274</t>
  </si>
  <si>
    <t>ORD10275</t>
  </si>
  <si>
    <t>ORD10276</t>
  </si>
  <si>
    <t>ORD10277</t>
  </si>
  <si>
    <t>ORD10278</t>
  </si>
  <si>
    <t>ORD10279</t>
  </si>
  <si>
    <t>Binder Model 9</t>
  </si>
  <si>
    <t>ORD10280</t>
  </si>
  <si>
    <t>ORD10281</t>
  </si>
  <si>
    <t>ORD10282</t>
  </si>
  <si>
    <t>ORD10283</t>
  </si>
  <si>
    <t>ORD10284</t>
  </si>
  <si>
    <t>ORD10285</t>
  </si>
  <si>
    <t>Printer Model 18</t>
  </si>
  <si>
    <t>ORD10286</t>
  </si>
  <si>
    <t>ORD10287</t>
  </si>
  <si>
    <t>ORD10288</t>
  </si>
  <si>
    <t>ORD10289</t>
  </si>
  <si>
    <t>ORD10290</t>
  </si>
  <si>
    <t>ORD10291</t>
  </si>
  <si>
    <t>ORD10292</t>
  </si>
  <si>
    <t>ORD10293</t>
  </si>
  <si>
    <t>ORD10294</t>
  </si>
  <si>
    <t>Pen Model 5</t>
  </si>
  <si>
    <t>ORD10295</t>
  </si>
  <si>
    <t>ORD10296</t>
  </si>
  <si>
    <t>ORD10297</t>
  </si>
  <si>
    <t>ORD10298</t>
  </si>
  <si>
    <t>ORD10299</t>
  </si>
  <si>
    <t>ORD10300</t>
  </si>
  <si>
    <t>Mouse Model 2</t>
  </si>
  <si>
    <t>ORD10301</t>
  </si>
  <si>
    <t>Binder Model 5</t>
  </si>
  <si>
    <t>ORD10302</t>
  </si>
  <si>
    <t>ORD10303</t>
  </si>
  <si>
    <t>ORD10304</t>
  </si>
  <si>
    <t>ORD10305</t>
  </si>
  <si>
    <t>Paper Model 18</t>
  </si>
  <si>
    <t>ORD10306</t>
  </si>
  <si>
    <t>ORD10307</t>
  </si>
  <si>
    <t>Table Model 3</t>
  </si>
  <si>
    <t>ORD10308</t>
  </si>
  <si>
    <t>ORD10309</t>
  </si>
  <si>
    <t>ORD10310</t>
  </si>
  <si>
    <t>ORD10311</t>
  </si>
  <si>
    <t>ORD10312</t>
  </si>
  <si>
    <t>ORD10313</t>
  </si>
  <si>
    <t>ORD10314</t>
  </si>
  <si>
    <t>Paper Model 10</t>
  </si>
  <si>
    <t>ORD10315</t>
  </si>
  <si>
    <t>ORD10316</t>
  </si>
  <si>
    <t>ORD10317</t>
  </si>
  <si>
    <t>ORD10318</t>
  </si>
  <si>
    <t>ORD10319</t>
  </si>
  <si>
    <t>ORD10320</t>
  </si>
  <si>
    <t>ORD10321</t>
  </si>
  <si>
    <t>ORD10322</t>
  </si>
  <si>
    <t>ORD10323</t>
  </si>
  <si>
    <t>ORD10324</t>
  </si>
  <si>
    <t>ORD10325</t>
  </si>
  <si>
    <t>Binder Model 19</t>
  </si>
  <si>
    <t>ORD10326</t>
  </si>
  <si>
    <t>ORD10327</t>
  </si>
  <si>
    <t>ORD10328</t>
  </si>
  <si>
    <t>ORD10329</t>
  </si>
  <si>
    <t>ORD10330</t>
  </si>
  <si>
    <t>ORD10331</t>
  </si>
  <si>
    <t>ORD10332</t>
  </si>
  <si>
    <t>ORD10333</t>
  </si>
  <si>
    <t>ORD10334</t>
  </si>
  <si>
    <t>Mouse Model 4</t>
  </si>
  <si>
    <t>ORD10335</t>
  </si>
  <si>
    <t>ORD10336</t>
  </si>
  <si>
    <t>ORD10337</t>
  </si>
  <si>
    <t>Pen Model 7</t>
  </si>
  <si>
    <t>ORD10338</t>
  </si>
  <si>
    <t>Table Model 13</t>
  </si>
  <si>
    <t>ORD10339</t>
  </si>
  <si>
    <t>ORD10340</t>
  </si>
  <si>
    <t>ORD10341</t>
  </si>
  <si>
    <t>ORD10342</t>
  </si>
  <si>
    <t>ORD10343</t>
  </si>
  <si>
    <t>Laptop Model 20</t>
  </si>
  <si>
    <t>ORD10344</t>
  </si>
  <si>
    <t>ORD10345</t>
  </si>
  <si>
    <t>Printer Model 11</t>
  </si>
  <si>
    <t>ORD10346</t>
  </si>
  <si>
    <t>ORD10347</t>
  </si>
  <si>
    <t>ORD10348</t>
  </si>
  <si>
    <t>ORD10349</t>
  </si>
  <si>
    <t>ORD10350</t>
  </si>
  <si>
    <t>Bookcase Model 14</t>
  </si>
  <si>
    <t>ORD10351</t>
  </si>
  <si>
    <t>ORD10352</t>
  </si>
  <si>
    <t>ORD10353</t>
  </si>
  <si>
    <t>Chair Model 1</t>
  </si>
  <si>
    <t>ORD10354</t>
  </si>
  <si>
    <t>ORD10355</t>
  </si>
  <si>
    <t>ORD10356</t>
  </si>
  <si>
    <t>ORD10357</t>
  </si>
  <si>
    <t>ORD10358</t>
  </si>
  <si>
    <t>ORD10359</t>
  </si>
  <si>
    <t>ORD10360</t>
  </si>
  <si>
    <t>ORD10361</t>
  </si>
  <si>
    <t>ORD10362</t>
  </si>
  <si>
    <t>ORD10363</t>
  </si>
  <si>
    <t>ORD10364</t>
  </si>
  <si>
    <t>Pen Model 11</t>
  </si>
  <si>
    <t>ORD10365</t>
  </si>
  <si>
    <t>ORD10366</t>
  </si>
  <si>
    <t>Laptop Model 12</t>
  </si>
  <si>
    <t>ORD10367</t>
  </si>
  <si>
    <t>ORD10368</t>
  </si>
  <si>
    <t>ORD10369</t>
  </si>
  <si>
    <t>ORD10370</t>
  </si>
  <si>
    <t>ORD10371</t>
  </si>
  <si>
    <t>ORD10372</t>
  </si>
  <si>
    <t>ORD10373</t>
  </si>
  <si>
    <t>ORD10374</t>
  </si>
  <si>
    <t>ORD10375</t>
  </si>
  <si>
    <t>ORD10376</t>
  </si>
  <si>
    <t>Bookcase Model 15</t>
  </si>
  <si>
    <t>ORD10377</t>
  </si>
  <si>
    <t>ORD10378</t>
  </si>
  <si>
    <t>ORD10379</t>
  </si>
  <si>
    <t>ORD10380</t>
  </si>
  <si>
    <t>ORD10381</t>
  </si>
  <si>
    <t>Paper Model 13</t>
  </si>
  <si>
    <t>ORD10382</t>
  </si>
  <si>
    <t>ORD10383</t>
  </si>
  <si>
    <t>ORD10384</t>
  </si>
  <si>
    <t>ORD10385</t>
  </si>
  <si>
    <t>ORD10386</t>
  </si>
  <si>
    <t>ORD10387</t>
  </si>
  <si>
    <t>Bookcase Model 7</t>
  </si>
  <si>
    <t>ORD10388</t>
  </si>
  <si>
    <t>ORD10389</t>
  </si>
  <si>
    <t>ORD10390</t>
  </si>
  <si>
    <t>ORD10391</t>
  </si>
  <si>
    <t>ORD10392</t>
  </si>
  <si>
    <t>ORD10393</t>
  </si>
  <si>
    <t>ORD10394</t>
  </si>
  <si>
    <t>Binder Model 17</t>
  </si>
  <si>
    <t>ORD10395</t>
  </si>
  <si>
    <t>ORD10396</t>
  </si>
  <si>
    <t>ORD10397</t>
  </si>
  <si>
    <t>ORD10398</t>
  </si>
  <si>
    <t>ORD10399</t>
  </si>
  <si>
    <t>ORD10400</t>
  </si>
  <si>
    <t>ORD10401</t>
  </si>
  <si>
    <t>Printer Model 15</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</si>
  <si>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</si>
  <si>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</si>
  <si>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</si>
  <si>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</si>
  <si>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</si>
  <si>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</si>
  <si>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</si>
  <si>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</si>
  <si>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</si>
  <si>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</si>
  <si>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</si>
  <si>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</si>
  <si>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</si>
  <si>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</si>
  <si>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</si>
  <si>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</si>
  <si>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</si>
  <si>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</si>
  <si>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</si>
  <si>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</si>
  <si>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</si>
  <si>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</si>
  <si>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</si>
  <si>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</si>
  <si>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</si>
  <si>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</si>
  <si>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</si>
  <si>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</si>
  <si>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</si>
  <si>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</si>
  <si>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</si>
  <si>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</si>
  <si>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</si>
  <si>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</si>
  <si>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</si>
  <si>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</si>
  <si>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</si>
  <si>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</si>
  <si>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</si>
  <si>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</si>
  <si>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</si>
  <si>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</si>
  <si>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</si>
  <si>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</si>
  <si>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Laptop Model 9</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</si>
  <si>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</si>
  <si>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</si>
  <si>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</si>
  <si>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</si>
  <si>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</si>
  <si>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</si>
  <si>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</si>
  <si>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</si>
  <si>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</si>
  <si>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</si>
  <si>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</si>
  <si>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</si>
  <si>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</si>
  <si>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</si>
  <si>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</si>
  <si>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</si>
  <si>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</si>
  <si>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Printer Model 10</t>
  </si>
  <si>
    <t>ORD10463</t>
  </si>
  <si>
    <t>ORD10464</t>
  </si>
  <si>
    <t>ORD10465</t>
  </si>
  <si>
    <t>ORD10466</t>
  </si>
  <si>
    <t>ORD10467</t>
  </si>
  <si>
    <t>ORD10468</t>
  </si>
  <si>
    <t>ORD10469</t>
  </si>
  <si>
    <t>Chair Model 15</t>
  </si>
  <si>
    <t>ORD10470</t>
  </si>
  <si>
    <t>ORD10471</t>
  </si>
  <si>
    <t>ORD10472</t>
  </si>
  <si>
    <t>ORD10473</t>
  </si>
  <si>
    <t>ORD10474</t>
  </si>
  <si>
    <t>ORD10475</t>
  </si>
  <si>
    <t>ORD10476</t>
  </si>
  <si>
    <t>ORD10477</t>
  </si>
  <si>
    <t>ORD10478</t>
  </si>
  <si>
    <t>Printer Model 7</t>
  </si>
  <si>
    <t>ORD10479</t>
  </si>
  <si>
    <t>ORD10480</t>
  </si>
  <si>
    <t>ORD10481</t>
  </si>
  <si>
    <t>ORD10482</t>
  </si>
  <si>
    <t>Laptop Model 6</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</si>
  <si>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</si>
  <si>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</si>
  <si>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</si>
  <si>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</si>
  <si>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</si>
  <si>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</si>
  <si>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</si>
  <si>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</si>
  <si>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</si>
  <si>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</si>
  <si>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</si>
  <si>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</si>
  <si>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</si>
  <si>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</si>
  <si>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</si>
  <si>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</si>
  <si>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</si>
  <si>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</si>
  <si>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Binder Model 13</t>
  </si>
  <si>
    <t>ORD10501</t>
  </si>
  <si>
    <t>ORD10502</t>
  </si>
  <si>
    <t>ORD10503</t>
  </si>
  <si>
    <t>ORD10504</t>
  </si>
  <si>
    <t>ORD10505</t>
  </si>
  <si>
    <t>ORD10506</t>
  </si>
  <si>
    <t>Chair Model 2</t>
  </si>
  <si>
    <t>ORD10507</t>
  </si>
  <si>
    <t>Bookcase Model 5</t>
  </si>
  <si>
    <t>ORD10508</t>
  </si>
  <si>
    <t>ORD10509</t>
  </si>
  <si>
    <t>ORD10510</t>
  </si>
  <si>
    <t>Paper Model 6</t>
  </si>
  <si>
    <t>ORD10511</t>
  </si>
  <si>
    <t>ORD10512</t>
  </si>
  <si>
    <t>Table Model 12</t>
  </si>
  <si>
    <t>ORD10513</t>
  </si>
  <si>
    <t>ORD10514</t>
  </si>
  <si>
    <t>ORD10515</t>
  </si>
  <si>
    <t>ORD10516</t>
  </si>
  <si>
    <t>ORD10517</t>
  </si>
  <si>
    <t>ORD10518</t>
  </si>
  <si>
    <t>Chair Model 20</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</si>
  <si>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</si>
  <si>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</si>
  <si>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</si>
  <si>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</si>
  <si>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</si>
  <si>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</si>
  <si>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</si>
  <si>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</si>
  <si>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</si>
  <si>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</si>
  <si>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</si>
  <si>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</si>
  <si>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</si>
  <si>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</si>
  <si>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</si>
  <si>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</si>
  <si>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</si>
  <si>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</si>
  <si>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</si>
  <si>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</si>
  <si>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</si>
  <si>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</si>
  <si>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</si>
  <si>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</si>
  <si>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</si>
  <si>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</si>
  <si>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</si>
  <si>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</si>
  <si>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</si>
  <si>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</si>
  <si>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</si>
  <si>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</si>
  <si>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</si>
  <si>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</si>
  <si>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</si>
  <si>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</si>
  <si>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</si>
  <si>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</si>
  <si>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</si>
  <si>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Mouse Model 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</si>
  <si>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</si>
  <si>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</si>
  <si>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</si>
  <si>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</si>
  <si>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</si>
  <si>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</si>
  <si>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</si>
  <si>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</si>
  <si>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</si>
  <si>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</si>
  <si>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</si>
  <si>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</si>
  <si>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</si>
  <si>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</si>
  <si>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</si>
  <si>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</si>
  <si>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</si>
  <si>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</si>
  <si>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</si>
  <si>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</si>
  <si>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</si>
  <si>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</si>
  <si>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</si>
  <si>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</si>
  <si>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</si>
  <si>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</si>
  <si>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</si>
  <si>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Binder Model 3</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</si>
  <si>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</si>
  <si>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</si>
  <si>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</si>
  <si>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</si>
  <si>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</si>
  <si>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</si>
  <si>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</si>
  <si>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</si>
  <si>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</si>
  <si>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</si>
  <si>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</si>
  <si>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</si>
  <si>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</si>
  <si>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</si>
  <si>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</si>
  <si>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</si>
  <si>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</si>
  <si>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</si>
  <si>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</si>
  <si>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</si>
  <si>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Chair Model 4</t>
  </si>
  <si>
    <t>ORD10605</t>
  </si>
  <si>
    <t>ORD10606</t>
  </si>
  <si>
    <t>ORD10607</t>
  </si>
  <si>
    <t>ORD10608</t>
  </si>
  <si>
    <t>Pen Model 4</t>
  </si>
  <si>
    <t>ORD10609</t>
  </si>
  <si>
    <t>ORD10610</t>
  </si>
  <si>
    <t>ORD10611</t>
  </si>
  <si>
    <t>Mouse Model 19</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</si>
  <si>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</si>
  <si>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</si>
  <si>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</si>
  <si>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</si>
  <si>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</si>
  <si>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</si>
  <si>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</si>
  <si>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</si>
  <si>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</si>
  <si>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</si>
  <si>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</si>
  <si>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</si>
  <si>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</si>
  <si>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</si>
  <si>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</si>
  <si>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</si>
  <si>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</si>
  <si>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</si>
  <si>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</si>
  <si>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</si>
  <si>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</si>
  <si>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</si>
  <si>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</si>
  <si>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</si>
  <si>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</si>
  <si>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</si>
  <si>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</si>
  <si>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</si>
  <si>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Chair Model 13</t>
  </si>
  <si>
    <t>ORD10640</t>
  </si>
  <si>
    <t>ORD10641</t>
  </si>
  <si>
    <t>ORD10642</t>
  </si>
  <si>
    <t>ORD10643</t>
  </si>
  <si>
    <t>ORD10644</t>
  </si>
  <si>
    <t>ORD10645</t>
  </si>
  <si>
    <t>ORD10646</t>
  </si>
  <si>
    <t>Pen Model 18</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</si>
  <si>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</si>
  <si>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</si>
  <si>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</si>
  <si>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</si>
  <si>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</si>
  <si>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</si>
  <si>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</si>
  <si>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</si>
  <si>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</si>
  <si>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</si>
  <si>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</si>
  <si>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</si>
  <si>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</si>
  <si>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</si>
  <si>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</si>
  <si>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</si>
  <si>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</si>
  <si>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</si>
  <si>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</si>
  <si>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</si>
  <si>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</si>
  <si>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</si>
  <si>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</si>
  <si>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</si>
  <si>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</si>
  <si>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</si>
  <si>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</si>
  <si>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</si>
  <si>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</si>
  <si>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</si>
  <si>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</si>
  <si>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</si>
  <si>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</si>
  <si>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</si>
  <si>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</si>
  <si>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</si>
  <si>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</si>
  <si>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</si>
  <si>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</si>
  <si>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</si>
  <si>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</si>
  <si>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</si>
  <si>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</si>
  <si>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</si>
  <si>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</si>
  <si>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</si>
  <si>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</si>
  <si>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</si>
  <si>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</si>
  <si>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</si>
  <si>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</si>
  <si>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</si>
  <si>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</si>
  <si>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</si>
  <si>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</si>
  <si>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</si>
  <si>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</si>
  <si>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</si>
  <si>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</si>
  <si>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</si>
  <si>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</si>
  <si>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</si>
  <si>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</si>
  <si>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</si>
  <si>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Mouse Model 3</t>
  </si>
  <si>
    <t>ORD10711</t>
  </si>
  <si>
    <t>ORD10712</t>
  </si>
  <si>
    <t>ORD10713</t>
  </si>
  <si>
    <t>Table Model 7</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</si>
  <si>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</si>
  <si>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</si>
  <si>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</si>
  <si>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</si>
  <si>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</si>
  <si>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</si>
  <si>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</si>
  <si>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</si>
  <si>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</si>
  <si>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</si>
  <si>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</si>
  <si>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</si>
  <si>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</si>
  <si>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</si>
  <si>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</si>
  <si>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</si>
  <si>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</si>
  <si>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</si>
  <si>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</si>
  <si>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</si>
  <si>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</si>
  <si>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</si>
  <si>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</si>
  <si>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</si>
  <si>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</si>
  <si>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</si>
  <si>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</si>
  <si>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</si>
  <si>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</si>
  <si>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</si>
  <si>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</si>
  <si>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</si>
  <si>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</si>
  <si>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</si>
  <si>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</si>
  <si>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</si>
  <si>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</si>
  <si>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</si>
  <si>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</si>
  <si>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</si>
  <si>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</si>
  <si>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</si>
  <si>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</si>
  <si>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</si>
  <si>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</si>
  <si>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</si>
  <si>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</si>
  <si>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</si>
  <si>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</si>
  <si>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</si>
  <si>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</si>
  <si>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</si>
  <si>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</si>
  <si>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</si>
  <si>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</si>
  <si>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</si>
  <si>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</si>
  <si>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</si>
  <si>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</si>
  <si>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</si>
  <si>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</si>
  <si>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</si>
  <si>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</si>
  <si>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</si>
  <si>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</si>
  <si>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</si>
  <si>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</si>
  <si>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</si>
  <si>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</si>
  <si>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</si>
  <si>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</si>
  <si>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</si>
  <si>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</si>
  <si>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</si>
  <si>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</si>
  <si>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</si>
  <si>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</si>
  <si>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</si>
  <si>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</si>
  <si>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</si>
  <si>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</si>
  <si>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</si>
  <si>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</si>
  <si>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</si>
  <si>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</si>
  <si>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</si>
  <si>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</si>
  <si>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</si>
  <si>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</si>
  <si>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</si>
  <si>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</si>
  <si>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</si>
  <si>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</si>
  <si>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</si>
  <si>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</si>
  <si>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</si>
  <si>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</si>
  <si>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</si>
  <si>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</si>
  <si>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</si>
  <si>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</si>
  <si>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</si>
  <si>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</si>
  <si>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</si>
  <si>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</si>
  <si>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</si>
  <si>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</si>
  <si>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</si>
  <si>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</si>
  <si>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</si>
  <si>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</si>
  <si>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</si>
  <si>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</si>
  <si>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</si>
  <si>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</si>
  <si>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</si>
  <si>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</si>
  <si>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</si>
  <si>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</si>
  <si>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</si>
  <si>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</si>
  <si>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</si>
  <si>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</si>
  <si>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</si>
  <si>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</si>
  <si>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</si>
  <si>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</si>
  <si>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</si>
  <si>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</si>
  <si>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</si>
  <si>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</si>
  <si>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</si>
  <si>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</si>
  <si>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</si>
  <si>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</si>
  <si>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</si>
  <si>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</si>
  <si>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</si>
  <si>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</si>
  <si>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</si>
  <si>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</si>
  <si>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</si>
  <si>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</si>
  <si>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</si>
  <si>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</si>
  <si>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</si>
  <si>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</si>
  <si>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</si>
  <si>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</si>
  <si>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</si>
  <si>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</si>
  <si>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</si>
  <si>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</si>
  <si>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</si>
  <si>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</si>
  <si>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</si>
  <si>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</si>
  <si>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</si>
  <si>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</si>
  <si>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</si>
  <si>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</si>
  <si>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</si>
  <si>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</si>
  <si>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</si>
  <si>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</si>
  <si>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</si>
  <si>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</si>
  <si>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</si>
  <si>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</si>
  <si>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</si>
  <si>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</si>
  <si>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</si>
  <si>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</si>
  <si>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</si>
  <si>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</si>
  <si>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</si>
  <si>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</si>
  <si>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</si>
  <si>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</si>
  <si>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</si>
  <si>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</si>
  <si>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</si>
  <si>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</si>
  <si>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</si>
  <si>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</si>
  <si>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</si>
  <si>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</si>
  <si>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</si>
  <si>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</si>
  <si>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</si>
  <si>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</si>
  <si>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</si>
  <si>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</si>
  <si>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</si>
  <si>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</si>
  <si>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</si>
  <si>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</si>
  <si>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</si>
  <si>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</si>
  <si>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</si>
  <si>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</si>
  <si>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</si>
  <si>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</si>
  <si>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</si>
  <si>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</si>
  <si>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</si>
  <si>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</si>
  <si>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</si>
  <si>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</si>
  <si>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</si>
  <si>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</si>
  <si>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</si>
  <si>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</si>
  <si>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</si>
  <si>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</si>
  <si>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</si>
  <si>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</si>
  <si>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</si>
  <si>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</si>
  <si>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</si>
  <si>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</si>
  <si>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</si>
  <si>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</si>
  <si>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</si>
  <si>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</si>
  <si>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</si>
  <si>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</si>
  <si>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</si>
  <si>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</si>
  <si>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</si>
  <si>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</si>
  <si>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</si>
  <si>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</si>
  <si>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</si>
  <si>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</si>
  <si>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</si>
  <si>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</si>
  <si>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</si>
  <si>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</si>
  <si>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</si>
  <si>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</si>
  <si>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</si>
  <si>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</si>
  <si>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</si>
  <si>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</si>
  <si>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</si>
  <si>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</si>
  <si>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</si>
  <si>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</si>
  <si>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</si>
  <si>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</si>
  <si>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</si>
  <si>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</si>
  <si>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</si>
  <si>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</si>
  <si>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</si>
  <si>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</si>
  <si>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</si>
  <si>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</si>
  <si>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</si>
  <si>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</si>
  <si>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</si>
  <si>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</si>
  <si>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</si>
  <si>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</si>
  <si>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</si>
  <si>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</si>
  <si>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</si>
  <si>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</si>
  <si>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</si>
  <si>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</si>
  <si>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</si>
  <si>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</si>
  <si>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</si>
  <si>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</si>
  <si>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</si>
  <si>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</si>
  <si>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</si>
  <si>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</si>
  <si>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</si>
  <si>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</si>
  <si>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</si>
  <si>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</si>
  <si>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</si>
  <si>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</si>
  <si>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</si>
  <si>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</si>
  <si>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</si>
  <si>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Sum of Sales</t>
  </si>
  <si>
    <t>Sum of Profit</t>
  </si>
  <si>
    <t>Sum of Quantity</t>
  </si>
  <si>
    <t>Row Labels</t>
  </si>
  <si>
    <t>Grand Total</t>
  </si>
  <si>
    <t>Count of Order ID</t>
  </si>
  <si>
    <t>Average of Sales</t>
  </si>
  <si>
    <t>Average of Profit</t>
  </si>
  <si>
    <t xml:space="preserve">SALES PERFORMANCE DASHBOARD </t>
  </si>
  <si>
    <t xml:space="preserve">TOTAL PROFIT </t>
  </si>
  <si>
    <t xml:space="preserve">TOTAL ORDERS </t>
  </si>
  <si>
    <t xml:space="preserve">TOTAL QUANTITY </t>
  </si>
  <si>
    <t xml:space="preserve">AVG SALES </t>
  </si>
  <si>
    <t xml:space="preserve">AVG PROFIT </t>
  </si>
  <si>
    <t>TOTAL SALES 
='Pivot Tables'!B4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</si>
</sst>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14009]dd/mm/yy;@"/>
  </numFmts>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4"/>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2" borderId="0" xfId="0" applyFill="1"/>
    <xf numFmtId="0" fontId="1" fillId="2" borderId="0" xfId="0" applyFont="1" applyFill="1" applyAlignment="1">
      <alignment vertical="center"/>
    </xf>
    <xf numFmtId="0" fontId="0" fillId="2" borderId="0" xfId="0" applyFill="1" applyAlignment="1"/>
    <xf numFmtId="0" fontId="1" fillId="3" borderId="0" xfId="0" applyFont="1" applyFill="1" applyAlignment="1">
      <alignment horizontal="center" vertical="center" wrapText="1"/>
    </xf>
    <xf numFmtId="1" fontId="1" fillId="3" borderId="0" xfId="0" applyNumberFormat="1" applyFont="1" applyFill="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2" fillId="4" borderId="0" xfId="0" applyFont="1" applyFill="1" applyAlignment="1">
      <alignment horizontal="center"/>
    </xf>
  </cellXfs>
  <cellStyles count="1">
    <cellStyle name="Normal" xfId="0" builtinId="0"/>
  </cellStyles>
  <dxfs count="1">
    <dxf>
      <numFmt numFmtId="168" formatCode="[$-14009]dd/mm/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[Sales_Data_1000_Rows.xlsx]Profit by Region !PivotTable9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 '!$B$3</c:f>
              <c:strCache>
                <c:ptCount val="1"/>
                <c:pt idx="0">
                  <c:v>Total</c:v>
                </c:pt>
              </c:strCache>
            </c:strRef>
          </c:tx>
          <c:spPr>
            <a:solidFill>
              <a:schemeClr val="accent1"/>
            </a:solidFill>
            <a:ln>
              <a:noFill/>
            </a:ln>
            <a:effectLst/>
          </c:spPr>
          <c:invertIfNegative val="0"/>
          <c:cat>
            <c:strRef>
              <c:f>'Profit by Region '!$A$4:$A$8</c:f>
              <c:strCache>
                <c:ptCount val="4"/>
                <c:pt idx="0">
                  <c:v>East</c:v>
                </c:pt>
                <c:pt idx="1">
                  <c:v>North</c:v>
                </c:pt>
                <c:pt idx="2">
                  <c:v>South</c:v>
                </c:pt>
                <c:pt idx="3">
                  <c:v>West</c:v>
                </c:pt>
              </c:strCache>
            </c:strRef>
          </c:cat>
          <c:val>
            <c:numRef>
              <c:f>'Profit by Region '!$B$4:$B$8</c:f>
              <c:numCache>
                <c:formatCode>General</c:formatCode>
                <c:ptCount val="4"/>
                <c:pt idx="0">
                  <c:v>113688.55000000002</c:v>
                </c:pt>
                <c:pt idx="1">
                  <c:v>137835.59000000005</c:v>
                </c:pt>
                <c:pt idx="2">
                  <c:v>117662.43000000007</c:v>
                </c:pt>
                <c:pt idx="3">
                  <c:v>138526.89999999997</c:v>
                </c:pt>
              </c:numCache>
            </c:numRef>
          </c:val>
          <c:extLst>
            <c:ext xmlns:c16="http://schemas.microsoft.com/office/drawing/2014/chart" uri="{C3380CC4-5D6E-409C-BE32-E72D297353CC}">
              <c16:uniqueId val="{00000000-D6FA-4C90-AA72-D9AC94F16758}"/>
            </c:ext>
          </c:extLst>
        </c:ser>
        <c:dLbls>
          <c:showLegendKey val="0"/>
          <c:showVal val="0"/>
          <c:showCatName val="0"/>
          <c:showSerName val="0"/>
          <c:showPercent val="0"/>
          <c:showBubbleSize val="0"/>
        </c:dLbls>
        <c:gapWidth val="219"/>
        <c:overlap val="-27"/>
        <c:axId val="343882463"/>
        <c:axId val="343883423"/>
      </c:barChart>
      <c:catAx>
        <c:axId val="3438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83423"/>
        <c:crosses val="autoZero"/>
        <c:auto val="1"/>
        <c:lblAlgn val="ctr"/>
        <c:lblOffset val="100"/>
        <c:noMultiLvlLbl val="0"/>
      </c:catAx>
      <c:valAx>
        <c:axId val="343883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82463"/>
        <c:crosses val="autoZero"/>
        <c:crossBetween val="between"/>
      </c:valA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[Sales_Data_1000_Rows.xlsx]TOP 10 PRODUCTS !PivotTable8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'!$B$3</c:f>
              <c:strCache>
                <c:ptCount val="1"/>
                <c:pt idx="0">
                  <c:v>Total</c:v>
                </c:pt>
              </c:strCache>
            </c:strRef>
          </c:tx>
          <c:spPr>
            <a:solidFill>
              <a:schemeClr val="accent1"/>
            </a:solidFill>
            <a:ln>
              <a:noFill/>
            </a:ln>
            <a:effectLst/>
          </c:spPr>
          <c:invertIfNegative val="0"/>
          <c:cat>
            <c:strRef>
              <c:f>'TOP 10 PRODUCTS '!$A$4:$A$14</c:f>
              <c:strCache>
                <c:ptCount val="10"/>
                <c:pt idx="0">
                  <c:v>Bookcase Model 17</c:v>
                </c:pt>
                <c:pt idx="1">
                  <c:v>Bookcase Model 7</c:v>
                </c:pt>
                <c:pt idx="2">
                  <c:v>Chair Model 10</c:v>
                </c:pt>
                <c:pt idx="3">
                  <c:v>Chair Model 14</c:v>
                </c:pt>
                <c:pt idx="4">
                  <c:v>Paper Model 14</c:v>
                </c:pt>
                <c:pt idx="5">
                  <c:v>Paper Model 16</c:v>
                </c:pt>
                <c:pt idx="6">
                  <c:v>Paper Model 2</c:v>
                </c:pt>
                <c:pt idx="7">
                  <c:v>Printer Model 16</c:v>
                </c:pt>
                <c:pt idx="8">
                  <c:v>Printer Model 17</c:v>
                </c:pt>
                <c:pt idx="9">
                  <c:v>Table Model 20</c:v>
                </c:pt>
              </c:strCache>
            </c:strRef>
          </c:cat>
          <c:val>
            <c:numRef>
              <c:f>'TOP 10 PRODUCTS '!$B$4:$B$14</c:f>
              <c:numCache>
                <c:formatCode>General</c:formatCode>
                <c:ptCount val="10"/>
                <c:pt idx="0">
                  <c:v>29213.760000000002</c:v>
                </c:pt>
                <c:pt idx="1">
                  <c:v>32568.659999999996</c:v>
                </c:pt>
                <c:pt idx="2">
                  <c:v>28418.639999999999</c:v>
                </c:pt>
                <c:pt idx="3">
                  <c:v>31748.309999999998</c:v>
                </c:pt>
                <c:pt idx="4">
                  <c:v>31326.249999999996</c:v>
                </c:pt>
                <c:pt idx="5">
                  <c:v>33259.96</c:v>
                </c:pt>
                <c:pt idx="6">
                  <c:v>33591.33</c:v>
                </c:pt>
                <c:pt idx="7">
                  <c:v>29040.120000000003</c:v>
                </c:pt>
                <c:pt idx="8">
                  <c:v>29676.34</c:v>
                </c:pt>
                <c:pt idx="9">
                  <c:v>27877.760000000002</c:v>
                </c:pt>
              </c:numCache>
            </c:numRef>
          </c:val>
          <c:extLst>
            <c:ext xmlns:c16="http://schemas.microsoft.com/office/drawing/2014/chart" uri="{C3380CC4-5D6E-409C-BE32-E72D297353CC}">
              <c16:uniqueId val="{00000000-88C2-4C58-9312-8422ACAFFBBB}"/>
            </c:ext>
          </c:extLst>
        </c:ser>
        <c:dLbls>
          <c:showLegendKey val="0"/>
          <c:showVal val="0"/>
          <c:showCatName val="0"/>
          <c:showSerName val="0"/>
          <c:showPercent val="0"/>
          <c:showBubbleSize val="0"/>
        </c:dLbls>
        <c:gapWidth val="219"/>
        <c:overlap val="-27"/>
        <c:axId val="455481007"/>
        <c:axId val="455481487"/>
      </c:barChart>
      <c:catAx>
        <c:axId val="455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81487"/>
        <c:crosses val="autoZero"/>
        <c:auto val="1"/>
        <c:lblAlgn val="ctr"/>
        <c:lblOffset val="100"/>
        <c:noMultiLvlLbl val="0"/>
      </c:catAx>
      <c:valAx>
        <c:axId val="45548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81007"/>
        <c:crosses val="autoZero"/>
        <c:crossBetween val="between"/>
      </c:valA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25400">
          <a:noFill/>
        </a:ln>
        <a:effectLst/>
      </c:spPr>
    </c:plotArea>
    <c:legend>
      <c:legendPos val="r"/>
      <c:layout>
        <c:manualLayout>
          <c:xMode val="edge"/>
          <c:yMode val="edge"/>
          <c:x val="0.9002591863517061"/>
          <c:y val="0.45015018955963831"/>
          <c:w val="5.8564583682358853E-2"/>
          <c:h val="6.55981066862234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[Sales_Data_1000_Rows.xlsx]Sales by Category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a:glow rad="12700">
              <a:schemeClr val="accent1">
                <a:alpha val="40000"/>
              </a:schemeClr>
            </a:glow>
          </a:effectLst>
        </c:spPr>
      </c:pivotFmt>
      <c:pivotFmt>
        <c:idx val="2"/>
        <c:spPr>
          <a:solidFill>
            <a:schemeClr val="accent1"/>
          </a:solidFill>
          <a:ln w="19050">
            <a:solidFill>
              <a:schemeClr val="lt1"/>
            </a:solidFill>
          </a:ln>
          <a:effectLst>
            <a:glow rad="12700">
              <a:schemeClr val="accent1">
                <a:alpha val="40000"/>
              </a:schemeClr>
            </a:glow>
          </a:effectLst>
        </c:spPr>
      </c:pivotFmt>
      <c:pivotFmt>
        <c:idx val="3"/>
        <c:spPr>
          <a:solidFill>
            <a:schemeClr val="accent2"/>
          </a:solidFill>
          <a:ln w="19050">
            <a:solidFill>
              <a:schemeClr val="lt1"/>
            </a:solidFill>
          </a:ln>
          <a:effectLst>
            <a:glow rad="12700">
              <a:schemeClr val="accent1">
                <a:alpha val="40000"/>
              </a:schemeClr>
            </a:glow>
          </a:effectLst>
        </c:spPr>
      </c:pivotFmt>
    </c:pivotFmts>
    <c:plotArea>
      <c:layout/>
      <c:pieChart>
        <c:varyColors val="1"/>
        <c:ser>
          <c:idx val="0"/>
          <c:order val="0"/>
          <c:tx>
            <c:strRef>
              <c:f>'Sales by Category '!$B$3</c:f>
              <c:strCache>
                <c:ptCount val="1"/>
                <c:pt idx="0">
                  <c:v>Total</c:v>
                </c:pt>
              </c:strCache>
            </c:strRef>
          </c:tx>
          <c:spPr>
            <a:effectLst>
              <a:glow rad="12700">
                <a:schemeClr val="accent1">
                  <a:alpha val="40000"/>
                </a:schemeClr>
              </a:glow>
            </a:effectLst>
          </c:spPr>
          <c:dPt>
            <c:idx val="0"/>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1B71-490E-B162-5C3FFD329542}"/>
              </c:ext>
            </c:extLst>
          </c:dPt>
          <c:dPt>
            <c:idx val="1"/>
            <c:bubble3D val="0"/>
            <c:spPr>
              <a:solidFill>
                <a:schemeClr val="accent2"/>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4-1B71-490E-B162-5C3FFD329542}"/>
              </c:ext>
            </c:extLst>
          </c:dPt>
          <c:dPt>
            <c:idx val="2"/>
            <c:bubble3D val="0"/>
            <c:spPr>
              <a:solidFill>
                <a:schemeClr val="accent3"/>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2-1B71-490E-B162-5C3FFD3295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 '!$A$4:$A$7</c:f>
              <c:strCache>
                <c:ptCount val="3"/>
                <c:pt idx="0">
                  <c:v>Furniture</c:v>
                </c:pt>
                <c:pt idx="1">
                  <c:v>Office Supplies</c:v>
                </c:pt>
                <c:pt idx="2">
                  <c:v>Technology</c:v>
                </c:pt>
              </c:strCache>
            </c:strRef>
          </c:cat>
          <c:val>
            <c:numRef>
              <c:f>'Sales by Category '!$B$4:$B$7</c:f>
              <c:numCache>
                <c:formatCode>General</c:formatCode>
                <c:ptCount val="3"/>
                <c:pt idx="0">
                  <c:v>932164.79</c:v>
                </c:pt>
                <c:pt idx="1">
                  <c:v>775397.8000000004</c:v>
                </c:pt>
                <c:pt idx="2">
                  <c:v>862703.75999999966</c:v>
                </c:pt>
              </c:numCache>
            </c:numRef>
          </c:val>
          <c:extLst>
            <c:ext xmlns:c16="http://schemas.microsoft.com/office/drawing/2014/chart" uri="{C3380CC4-5D6E-409C-BE32-E72D297353CC}">
              <c16:uniqueId val="{00000000-1B71-490E-B162-5C3FFD32954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[Sales_Data_1000_Rows.xlsx]Sales by Regions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pivotFmt>
    </c:pivotFmts>
    <c:plotArea>
      <c:layout>
        <c:manualLayout>
          <c:layoutTarget val="inner"/>
          <c:xMode val="edge"/>
          <c:yMode val="edge"/>
          <c:x val="0.19780314960629922"/>
          <c:y val="0.22161818314377368"/>
          <c:w val="0.73578937007874012"/>
          <c:h val="0.53774387576552929"/>
        </c:manualLayout>
      </c:layout>
      <c:barChart>
        <c:barDir val="col"/>
        <c:grouping val="clustered"/>
        <c:varyColors val="0"/>
        <c:ser>
          <c:idx val="0"/>
          <c:order val="0"/>
          <c:tx>
            <c:strRef>
              <c:f>'Sales by Regions '!$B$3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2-3F96-457E-98D3-F1C62A106CA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Regions '!$A$4:$A$7</c:f>
              <c:strCache>
                <c:ptCount val="4"/>
                <c:pt idx="0">
                  <c:v>East</c:v>
                </c:pt>
                <c:pt idx="1">
                  <c:v>North</c:v>
                </c:pt>
                <c:pt idx="2">
                  <c:v>South</c:v>
                </c:pt>
                <c:pt idx="3">
                  <c:v>West</c:v>
                </c:pt>
              </c:strCache>
            </c:strRef>
          </c:cat>
          <c:val>
            <c:numRef>
              <c:f>'Sales by Regions '!$B$4:$B$7</c:f>
              <c:numCache>
                <c:formatCode>General</c:formatCode>
                <c:ptCount val="4"/>
                <c:pt idx="0">
                  <c:v>591106.01</c:v>
                </c:pt>
                <c:pt idx="1">
                  <c:v>667690.63000000035</c:v>
                </c:pt>
                <c:pt idx="2">
                  <c:v>612005.79000000027</c:v>
                </c:pt>
                <c:pt idx="3">
                  <c:v>699463.92</c:v>
                </c:pt>
              </c:numCache>
            </c:numRef>
          </c:val>
          <c:extLst>
            <c:ext xmlns:c16="http://schemas.microsoft.com/office/drawing/2014/chart" uri="{C3380CC4-5D6E-409C-BE32-E72D297353CC}">
              <c16:uniqueId val="{00000000-3F96-457E-98D3-F1C62A106CAF}"/>
            </c:ext>
          </c:extLst>
        </c:ser>
        <c:dLbls>
          <c:showLegendKey val="0"/>
          <c:showVal val="0"/>
          <c:showCatName val="0"/>
          <c:showSerName val="0"/>
          <c:showPercent val="0"/>
          <c:showBubbleSize val="0"/>
        </c:dLbls>
        <c:gapWidth val="219"/>
        <c:overlap val="-27"/>
        <c:axId val="317930175"/>
        <c:axId val="1466823439"/>
      </c:barChart>
      <c:catAx>
        <c:axId val="31793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23439"/>
        <c:crosses val="autoZero"/>
        <c:auto val="1"/>
        <c:lblAlgn val="ctr"/>
        <c:lblOffset val="100"/>
        <c:noMultiLvlLbl val="0"/>
      </c:catAx>
      <c:valAx>
        <c:axId val="14668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0175"/>
        <c:crosses val="autoZero"/>
        <c:crossBetween val="between"/>
      </c:valA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[Sales_Data_1000_Rows.xlsx]Sales by Regions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solidFill>
          </a:ln>
          <a:effectLst/>
        </c:spPr>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solidFill>
          </a:ln>
          <a:effectLst/>
        </c:spPr>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accent1"/>
            </a:solidFill>
          </a:ln>
          <a:effectLst/>
        </c:spPr>
      </c:pivotFmt>
    </c:pivotFmts>
    <c:plotArea>
      <c:layout>
        <c:manualLayout>
          <c:layoutTarget val="inner"/>
          <c:xMode val="edge"/>
          <c:yMode val="edge"/>
          <c:x val="0.19780314960629922"/>
          <c:y val="0.22161818314377368"/>
          <c:w val="0.73578937007874012"/>
          <c:h val="0.53774387576552929"/>
        </c:manualLayout>
      </c:layout>
      <c:barChart>
        <c:barDir val="col"/>
        <c:grouping val="clustered"/>
        <c:varyColors val="0"/>
        <c:ser>
          <c:idx val="0"/>
          <c:order val="0"/>
          <c:tx>
            <c:strRef>
              <c:f>'Sales by Regions '!$B$3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solidFill>
                  <a:schemeClr val="accent1"/>
                </a:solidFill>
              </a:ln>
              <a:effectLst/>
            </c:spPr>
            <c:extLst>
              <c:ext xmlns:c16="http://schemas.microsoft.com/office/drawing/2014/chart" uri="{C3380CC4-5D6E-409C-BE32-E72D297353CC}">
                <c16:uniqueId val="{00000001-7140-4B5D-8DE7-C6A54FE575F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Regions '!$A$4:$A$7</c:f>
              <c:strCache>
                <c:ptCount val="4"/>
                <c:pt idx="0">
                  <c:v>East</c:v>
                </c:pt>
                <c:pt idx="1">
                  <c:v>North</c:v>
                </c:pt>
                <c:pt idx="2">
                  <c:v>South</c:v>
                </c:pt>
                <c:pt idx="3">
                  <c:v>West</c:v>
                </c:pt>
              </c:strCache>
            </c:strRef>
          </c:cat>
          <c:val>
            <c:numRef>
              <c:f>'Sales by Regions '!$B$4:$B$7</c:f>
              <c:numCache>
                <c:formatCode>General</c:formatCode>
                <c:ptCount val="4"/>
                <c:pt idx="0">
                  <c:v>591106.01</c:v>
                </c:pt>
                <c:pt idx="1">
                  <c:v>667690.63000000035</c:v>
                </c:pt>
                <c:pt idx="2">
                  <c:v>612005.79000000027</c:v>
                </c:pt>
                <c:pt idx="3">
                  <c:v>699463.92</c:v>
                </c:pt>
              </c:numCache>
            </c:numRef>
          </c:val>
          <c:extLst>
            <c:ext xmlns:c16="http://schemas.microsoft.com/office/drawing/2014/chart" uri="{C3380CC4-5D6E-409C-BE32-E72D297353CC}">
              <c16:uniqueId val="{00000002-7140-4B5D-8DE7-C6A54FE575F6}"/>
            </c:ext>
          </c:extLst>
        </c:ser>
        <c:dLbls>
          <c:showLegendKey val="0"/>
          <c:showVal val="0"/>
          <c:showCatName val="0"/>
          <c:showSerName val="0"/>
          <c:showPercent val="0"/>
          <c:showBubbleSize val="0"/>
        </c:dLbls>
        <c:gapWidth val="219"/>
        <c:overlap val="-27"/>
        <c:axId val="317930175"/>
        <c:axId val="1466823439"/>
      </c:barChart>
      <c:catAx>
        <c:axId val="31793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823439"/>
        <c:crosses val="autoZero"/>
        <c:auto val="1"/>
        <c:lblAlgn val="ctr"/>
        <c:lblOffset val="100"/>
        <c:noMultiLvlLbl val="0"/>
      </c:catAx>
      <c:valAx>
        <c:axId val="1466823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301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[Sales_Data_1000_Rows.xlsx]Sales by Category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a:glow rad="12700">
              <a:schemeClr val="accent1">
                <a:alpha val="40000"/>
              </a:schemeClr>
            </a:glow>
          </a:effectLst>
        </c:spPr>
      </c:pivotFmt>
      <c:pivotFmt>
        <c:idx val="2"/>
        <c:spPr>
          <a:solidFill>
            <a:schemeClr val="accent1"/>
          </a:solidFill>
          <a:ln w="19050">
            <a:solidFill>
              <a:schemeClr val="lt1"/>
            </a:solidFill>
          </a:ln>
          <a:effectLst>
            <a:glow rad="12700">
              <a:schemeClr val="accent1">
                <a:alpha val="40000"/>
              </a:schemeClr>
            </a:glow>
          </a:effectLst>
        </c:spPr>
      </c:pivotFmt>
      <c:pivotFmt>
        <c:idx val="3"/>
        <c:spPr>
          <a:solidFill>
            <a:schemeClr val="accent2"/>
          </a:solidFill>
          <a:ln w="19050">
            <a:solidFill>
              <a:schemeClr val="lt1"/>
            </a:solidFill>
          </a:ln>
          <a:effectLst>
            <a:glow rad="12700">
              <a:schemeClr val="accent1">
                <a:alpha val="40000"/>
              </a:schemeClr>
            </a:glow>
          </a:effectLst>
        </c:spPr>
      </c:pivotFmt>
      <c:pivotFmt>
        <c:idx val="4"/>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glow rad="12700">
              <a:schemeClr val="accent1">
                <a:alpha val="40000"/>
              </a:schemeClr>
            </a:glow>
          </a:effectLst>
        </c:spPr>
      </c:pivotFmt>
      <c:pivotFmt>
        <c:idx val="6"/>
        <c:spPr>
          <a:solidFill>
            <a:schemeClr val="accent1"/>
          </a:solidFill>
          <a:ln w="19050">
            <a:solidFill>
              <a:schemeClr val="lt1"/>
            </a:solidFill>
          </a:ln>
          <a:effectLst>
            <a:glow rad="12700">
              <a:schemeClr val="accent1">
                <a:alpha val="40000"/>
              </a:schemeClr>
            </a:glow>
          </a:effectLst>
        </c:spPr>
      </c:pivotFmt>
      <c:pivotFmt>
        <c:idx val="7"/>
        <c:spPr>
          <a:solidFill>
            <a:schemeClr val="accent1"/>
          </a:solidFill>
          <a:ln w="19050">
            <a:solidFill>
              <a:schemeClr val="lt1"/>
            </a:solidFill>
          </a:ln>
          <a:effectLst>
            <a:glow rad="12700">
              <a:schemeClr val="accent1">
                <a:alpha val="40000"/>
              </a:schemeClr>
            </a:glow>
          </a:effectLst>
        </c:spPr>
      </c:pivotFmt>
      <c:pivotFmt>
        <c:idx val="8"/>
        <c:spPr>
          <a:solidFill>
            <a:schemeClr val="accent1"/>
          </a:solidFill>
          <a:ln w="19050">
            <a:solidFill>
              <a:schemeClr val="lt1"/>
            </a:solidFill>
          </a:ln>
          <a:effectLst>
            <a:glow rad="127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glow rad="12700">
              <a:schemeClr val="accent1">
                <a:alpha val="40000"/>
              </a:schemeClr>
            </a:glow>
          </a:effectLst>
        </c:spPr>
      </c:pivotFmt>
      <c:pivotFmt>
        <c:idx val="10"/>
        <c:spPr>
          <a:solidFill>
            <a:schemeClr val="accent1"/>
          </a:solidFill>
          <a:ln w="19050">
            <a:solidFill>
              <a:schemeClr val="lt1"/>
            </a:solidFill>
          </a:ln>
          <a:effectLst>
            <a:glow rad="12700">
              <a:schemeClr val="accent1">
                <a:alpha val="40000"/>
              </a:schemeClr>
            </a:glow>
          </a:effectLst>
        </c:spPr>
      </c:pivotFmt>
      <c:pivotFmt>
        <c:idx val="11"/>
        <c:spPr>
          <a:solidFill>
            <a:schemeClr val="accent1"/>
          </a:solidFill>
          <a:ln w="19050">
            <a:solidFill>
              <a:schemeClr val="lt1"/>
            </a:solidFill>
          </a:ln>
          <a:effectLst>
            <a:glow rad="12700">
              <a:schemeClr val="accent1">
                <a:alpha val="40000"/>
              </a:schemeClr>
            </a:glow>
          </a:effectLst>
        </c:spPr>
      </c:pivotFmt>
    </c:pivotFmts>
    <c:plotArea>
      <c:layout/>
      <c:pieChart>
        <c:varyColors val="1"/>
        <c:ser>
          <c:idx val="0"/>
          <c:order val="0"/>
          <c:tx>
            <c:strRef>
              <c:f>'Sales by Category '!$B$3</c:f>
              <c:strCache>
                <c:ptCount val="1"/>
                <c:pt idx="0">
                  <c:v>Total</c:v>
                </c:pt>
              </c:strCache>
            </c:strRef>
          </c:tx>
          <c:spPr>
            <a:effectLst>
              <a:glow rad="12700">
                <a:schemeClr val="accent1">
                  <a:alpha val="40000"/>
                </a:schemeClr>
              </a:glow>
            </a:effectLst>
          </c:spPr>
          <c:dPt>
            <c:idx val="0"/>
            <c:bubble3D val="0"/>
            <c:spPr>
              <a:solidFill>
                <a:schemeClr val="accent1"/>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1-7CB0-4B7E-9DB9-6F8A09626355}"/>
              </c:ext>
            </c:extLst>
          </c:dPt>
          <c:dPt>
            <c:idx val="1"/>
            <c:bubble3D val="0"/>
            <c:spPr>
              <a:solidFill>
                <a:schemeClr val="accent2"/>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3-7CB0-4B7E-9DB9-6F8A09626355}"/>
              </c:ext>
            </c:extLst>
          </c:dPt>
          <c:dPt>
            <c:idx val="2"/>
            <c:bubble3D val="0"/>
            <c:spPr>
              <a:solidFill>
                <a:schemeClr val="accent3"/>
              </a:solidFill>
              <a:ln w="19050">
                <a:solidFill>
                  <a:schemeClr val="lt1"/>
                </a:solidFill>
              </a:ln>
              <a:effectLst>
                <a:glow rad="12700">
                  <a:schemeClr val="accent1">
                    <a:alpha val="40000"/>
                  </a:schemeClr>
                </a:glow>
              </a:effectLst>
            </c:spPr>
            <c:extLst>
              <c:ext xmlns:c16="http://schemas.microsoft.com/office/drawing/2014/chart" uri="{C3380CC4-5D6E-409C-BE32-E72D297353CC}">
                <c16:uniqueId val="{00000005-7CB0-4B7E-9DB9-6F8A096263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 '!$A$4:$A$7</c:f>
              <c:strCache>
                <c:ptCount val="3"/>
                <c:pt idx="0">
                  <c:v>Furniture</c:v>
                </c:pt>
                <c:pt idx="1">
                  <c:v>Office Supplies</c:v>
                </c:pt>
                <c:pt idx="2">
                  <c:v>Technology</c:v>
                </c:pt>
              </c:strCache>
            </c:strRef>
          </c:cat>
          <c:val>
            <c:numRef>
              <c:f>'Sales by Category '!$B$4:$B$7</c:f>
              <c:numCache>
                <c:formatCode>General</c:formatCode>
                <c:ptCount val="3"/>
                <c:pt idx="0">
                  <c:v>932164.79</c:v>
                </c:pt>
                <c:pt idx="1">
                  <c:v>775397.8000000004</c:v>
                </c:pt>
                <c:pt idx="2">
                  <c:v>862703.75999999966</c:v>
                </c:pt>
              </c:numCache>
            </c:numRef>
          </c:val>
          <c:extLst>
            <c:ext xmlns:c16="http://schemas.microsoft.com/office/drawing/2014/chart" uri="{C3380CC4-5D6E-409C-BE32-E72D297353CC}">
              <c16:uniqueId val="{00000006-7CB0-4B7E-9DB9-6F8A0962635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[Sales_Data_1000_Rows.xlsx]TOP 10 PRODUCTS !PivotTable8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'!$B$3</c:f>
              <c:strCache>
                <c:ptCount val="1"/>
                <c:pt idx="0">
                  <c:v>Total</c:v>
                </c:pt>
              </c:strCache>
            </c:strRef>
          </c:tx>
          <c:spPr>
            <a:solidFill>
              <a:schemeClr val="accent1"/>
            </a:solidFill>
            <a:ln>
              <a:noFill/>
            </a:ln>
            <a:effectLst/>
          </c:spPr>
          <c:invertIfNegative val="0"/>
          <c:cat>
            <c:strRef>
              <c:f>'TOP 10 PRODUCTS '!$A$4:$A$14</c:f>
              <c:strCache>
                <c:ptCount val="10"/>
                <c:pt idx="0">
                  <c:v>Bookcase Model 17</c:v>
                </c:pt>
                <c:pt idx="1">
                  <c:v>Bookcase Model 7</c:v>
                </c:pt>
                <c:pt idx="2">
                  <c:v>Chair Model 10</c:v>
                </c:pt>
                <c:pt idx="3">
                  <c:v>Chair Model 14</c:v>
                </c:pt>
                <c:pt idx="4">
                  <c:v>Paper Model 14</c:v>
                </c:pt>
                <c:pt idx="5">
                  <c:v>Paper Model 16</c:v>
                </c:pt>
                <c:pt idx="6">
                  <c:v>Paper Model 2</c:v>
                </c:pt>
                <c:pt idx="7">
                  <c:v>Printer Model 16</c:v>
                </c:pt>
                <c:pt idx="8">
                  <c:v>Printer Model 17</c:v>
                </c:pt>
                <c:pt idx="9">
                  <c:v>Table Model 20</c:v>
                </c:pt>
              </c:strCache>
            </c:strRef>
          </c:cat>
          <c:val>
            <c:numRef>
              <c:f>'TOP 10 PRODUCTS '!$B$4:$B$14</c:f>
              <c:numCache>
                <c:formatCode>General</c:formatCode>
                <c:ptCount val="10"/>
                <c:pt idx="0">
                  <c:v>29213.760000000002</c:v>
                </c:pt>
                <c:pt idx="1">
                  <c:v>32568.659999999996</c:v>
                </c:pt>
                <c:pt idx="2">
                  <c:v>28418.639999999999</c:v>
                </c:pt>
                <c:pt idx="3">
                  <c:v>31748.309999999998</c:v>
                </c:pt>
                <c:pt idx="4">
                  <c:v>31326.249999999996</c:v>
                </c:pt>
                <c:pt idx="5">
                  <c:v>33259.96</c:v>
                </c:pt>
                <c:pt idx="6">
                  <c:v>33591.33</c:v>
                </c:pt>
                <c:pt idx="7">
                  <c:v>29040.120000000003</c:v>
                </c:pt>
                <c:pt idx="8">
                  <c:v>29676.34</c:v>
                </c:pt>
                <c:pt idx="9">
                  <c:v>27877.760000000002</c:v>
                </c:pt>
              </c:numCache>
            </c:numRef>
          </c:val>
          <c:extLst>
            <c:ext xmlns:c16="http://schemas.microsoft.com/office/drawing/2014/chart" uri="{C3380CC4-5D6E-409C-BE32-E72D297353CC}">
              <c16:uniqueId val="{00000000-8EF2-4FD5-A3BE-5FFABF7AA5C2}"/>
            </c:ext>
          </c:extLst>
        </c:ser>
        <c:dLbls>
          <c:showLegendKey val="0"/>
          <c:showVal val="0"/>
          <c:showCatName val="0"/>
          <c:showSerName val="0"/>
          <c:showPercent val="0"/>
          <c:showBubbleSize val="0"/>
        </c:dLbls>
        <c:gapWidth val="219"/>
        <c:overlap val="-27"/>
        <c:axId val="455481007"/>
        <c:axId val="455481487"/>
      </c:barChart>
      <c:catAx>
        <c:axId val="4554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81487"/>
        <c:crosses val="autoZero"/>
        <c:auto val="1"/>
        <c:lblAlgn val="ctr"/>
        <c:lblOffset val="100"/>
        <c:noMultiLvlLbl val="0"/>
      </c:catAx>
      <c:valAx>
        <c:axId val="45548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4810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[Sales_Data_1000_Rows.xlsx]Profit by Region !PivotTable9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by Regions</a:t>
            </a:r>
          </a:p>
          <a:p>
            <a:pPr>
              <a:defRPr/>
            </a:pP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 '!$B$3</c:f>
              <c:strCache>
                <c:ptCount val="1"/>
                <c:pt idx="0">
                  <c:v>Total</c:v>
                </c:pt>
              </c:strCache>
            </c:strRef>
          </c:tx>
          <c:spPr>
            <a:solidFill>
              <a:schemeClr val="accent1"/>
            </a:solidFill>
            <a:ln>
              <a:noFill/>
            </a:ln>
            <a:effectLst/>
          </c:spPr>
          <c:invertIfNegative val="0"/>
          <c:cat>
            <c:strRef>
              <c:f>'Profit by Region '!$A$4:$A$8</c:f>
              <c:strCache>
                <c:ptCount val="4"/>
                <c:pt idx="0">
                  <c:v>East</c:v>
                </c:pt>
                <c:pt idx="1">
                  <c:v>North</c:v>
                </c:pt>
                <c:pt idx="2">
                  <c:v>South</c:v>
                </c:pt>
                <c:pt idx="3">
                  <c:v>West</c:v>
                </c:pt>
              </c:strCache>
            </c:strRef>
          </c:cat>
          <c:val>
            <c:numRef>
              <c:f>'Profit by Region '!$B$4:$B$8</c:f>
              <c:numCache>
                <c:formatCode>General</c:formatCode>
                <c:ptCount val="4"/>
                <c:pt idx="0">
                  <c:v>113688.55000000002</c:v>
                </c:pt>
                <c:pt idx="1">
                  <c:v>137835.59000000005</c:v>
                </c:pt>
                <c:pt idx="2">
                  <c:v>117662.43000000007</c:v>
                </c:pt>
                <c:pt idx="3">
                  <c:v>138526.89999999997</c:v>
                </c:pt>
              </c:numCache>
            </c:numRef>
          </c:val>
          <c:extLst>
            <c:ext xmlns:c16="http://schemas.microsoft.com/office/drawing/2014/chart" uri="{C3380CC4-5D6E-409C-BE32-E72D297353CC}">
              <c16:uniqueId val="{00000000-1688-4BBE-A64A-94698C58B7C0}"/>
            </c:ext>
          </c:extLst>
        </c:ser>
        <c:dLbls>
          <c:showLegendKey val="0"/>
          <c:showVal val="0"/>
          <c:showCatName val="0"/>
          <c:showSerName val="0"/>
          <c:showPercent val="0"/>
          <c:showBubbleSize val="0"/>
        </c:dLbls>
        <c:gapWidth val="219"/>
        <c:overlap val="-27"/>
        <c:axId val="343882463"/>
        <c:axId val="343883423"/>
      </c:barChart>
      <c:catAx>
        <c:axId val="3438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83423"/>
        <c:crosses val="autoZero"/>
        <c:auto val="1"/>
        <c:lblAlgn val="ctr"/>
        <c:lblOffset val="100"/>
        <c:noMultiLvlLbl val="0"/>
      </c:catAx>
      <c:valAx>
        <c:axId val="343883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8824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xdr:colOff>
      <xdr:row>2</xdr:row>
      <xdr:rowOff>85725</xdr:rowOff>
    </xdr:from>
    <xdr:to>
      <xdr:col>9</xdr:col>
      <xdr:colOff>596900</xdr:colOff>
      <xdr:row>16</xdr:row>
      <xdr:rowOff>101601</xdr:rowOff>
    </xdr:to>
    <xdr:graphicFrame macro="">
      <xdr:nvGraphicFramePr>
        <xdr:cNvPr id="2" name="Chart 1">
          <a:extLst>
            <a:ext uri="{FF2B5EF4-FFF2-40B4-BE49-F238E27FC236}">
              <a16:creationId xmlns:a16="http://schemas.microsoft.com/office/drawing/2014/main" id="{02054CC0-F314-7CB5-0CC8-0E624DB16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552450</xdr:colOff>
      <xdr:row>19</xdr:row>
      <xdr:rowOff>63501</xdr:rowOff>
    </xdr:from>
    <xdr:to>
      <xdr:col>9</xdr:col>
      <xdr:colOff>552450</xdr:colOff>
      <xdr:row>27</xdr:row>
      <xdr:rowOff>12700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7043840-C55A-351A-D1E4-6A4DDF42B2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79950" y="3562351"/>
              <a:ext cx="1828800" cy="1422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603250</xdr:colOff>
      <xdr:row>19</xdr:row>
      <xdr:rowOff>76200</xdr:rowOff>
    </xdr:from>
    <xdr:to>
      <xdr:col>5</xdr:col>
      <xdr:colOff>603250</xdr:colOff>
      <xdr:row>26</xdr:row>
      <xdr:rowOff>171449</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0890153-46EB-1D78-2545-2B126A4E33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92350" y="3575050"/>
              <a:ext cx="1828800" cy="138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19</xdr:row>
      <xdr:rowOff>88901</xdr:rowOff>
    </xdr:from>
    <xdr:to>
      <xdr:col>2</xdr:col>
      <xdr:colOff>304800</xdr:colOff>
      <xdr:row>26</xdr:row>
      <xdr:rowOff>171451</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088A641D-24FA-AAD5-6FDE-13BD80A14D2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65100" y="358775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349250</xdr:colOff>
      <xdr:row>0</xdr:row>
      <xdr:rowOff>92074</xdr:rowOff>
    </xdr:from>
    <xdr:to>
      <xdr:col>14</xdr:col>
      <xdr:colOff>495300</xdr:colOff>
      <xdr:row>18</xdr:row>
      <xdr:rowOff>44450</xdr:rowOff>
    </xdr:to>
    <xdr:graphicFrame macro="">
      <xdr:nvGraphicFramePr>
        <xdr:cNvPr id="4" name="Chart 3">
          <a:extLst>
            <a:ext uri="{FF2B5EF4-FFF2-40B4-BE49-F238E27FC236}">
              <a16:creationId xmlns:a16="http://schemas.microsoft.com/office/drawing/2014/main" id="{322F1EE1-BD45-75CF-50A9-06A106757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2</xdr:row>
      <xdr:rowOff>85724</xdr:rowOff>
    </xdr:from>
    <xdr:to>
      <xdr:col>10</xdr:col>
      <xdr:colOff>501650</xdr:colOff>
      <xdr:row>18</xdr:row>
      <xdr:rowOff>82549</xdr:rowOff>
    </xdr:to>
    <xdr:graphicFrame macro="">
      <xdr:nvGraphicFramePr>
        <xdr:cNvPr id="2" name="Chart 1">
          <a:extLst>
            <a:ext uri="{FF2B5EF4-FFF2-40B4-BE49-F238E27FC236}">
              <a16:creationId xmlns:a16="http://schemas.microsoft.com/office/drawing/2014/main" id="{29D0240E-78D1-B35E-A518-F03039BC0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165100</xdr:colOff>
      <xdr:row>0</xdr:row>
      <xdr:rowOff>123824</xdr:rowOff>
    </xdr:from>
    <xdr:to>
      <xdr:col>10</xdr:col>
      <xdr:colOff>342900</xdr:colOff>
      <xdr:row>16</xdr:row>
      <xdr:rowOff>146049</xdr:rowOff>
    </xdr:to>
    <xdr:graphicFrame macro="">
      <xdr:nvGraphicFramePr>
        <xdr:cNvPr id="2" name="Chart 1">
          <a:extLst>
            <a:ext uri="{FF2B5EF4-FFF2-40B4-BE49-F238E27FC236}">
              <a16:creationId xmlns:a16="http://schemas.microsoft.com/office/drawing/2014/main" id="{6BB7D4AA-7DBA-8E43-18BF-B590FB650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127001</xdr:rowOff>
    </xdr:from>
    <xdr:to>
      <xdr:col>4</xdr:col>
      <xdr:colOff>487588</xdr:colOff>
      <xdr:row>25</xdr:row>
      <xdr:rowOff>50801</xdr:rowOff>
    </xdr:to>
    <xdr:graphicFrame macro="">
      <xdr:nvGraphicFramePr>
        <xdr:cNvPr id="2" name="Chart 1">
          <a:extLst>
            <a:ext uri="{FF2B5EF4-FFF2-40B4-BE49-F238E27FC236}">
              <a16:creationId xmlns:a16="http://schemas.microsoft.com/office/drawing/2014/main" id="{A4076DC2-7961-4041-923B-D9BF39633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13608</xdr:colOff>
      <xdr:row>13</xdr:row>
      <xdr:rowOff>114300</xdr:rowOff>
    </xdr:from>
    <xdr:to>
      <xdr:col>10</xdr:col>
      <xdr:colOff>566965</xdr:colOff>
      <xdr:row>25</xdr:row>
      <xdr:rowOff>31750</xdr:rowOff>
    </xdr:to>
    <xdr:graphicFrame macro="">
      <xdr:nvGraphicFramePr>
        <xdr:cNvPr id="3" name="Chart 2">
          <a:extLst>
            <a:ext uri="{FF2B5EF4-FFF2-40B4-BE49-F238E27FC236}">
              <a16:creationId xmlns:a16="http://schemas.microsoft.com/office/drawing/2014/main" id="{57850964-AB01-4F88-875B-F5C077EA4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211664</xdr:colOff>
      <xdr:row>13</xdr:row>
      <xdr:rowOff>153507</xdr:rowOff>
    </xdr:from>
    <xdr:to>
      <xdr:col>17</xdr:col>
      <xdr:colOff>170089</xdr:colOff>
      <xdr:row>25</xdr:row>
      <xdr:rowOff>34018</xdr:rowOff>
    </xdr:to>
    <xdr:graphicFrame macro="">
      <xdr:nvGraphicFramePr>
        <xdr:cNvPr id="4" name="Chart 3">
          <a:extLst>
            <a:ext uri="{FF2B5EF4-FFF2-40B4-BE49-F238E27FC236}">
              <a16:creationId xmlns:a16="http://schemas.microsoft.com/office/drawing/2014/main" id="{C5E4B787-C396-4618-95C6-D8C3F8F51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211666</xdr:colOff>
      <xdr:row>1</xdr:row>
      <xdr:rowOff>170699</xdr:rowOff>
    </xdr:from>
    <xdr:to>
      <xdr:col>17</xdr:col>
      <xdr:colOff>198011</xdr:colOff>
      <xdr:row>13</xdr:row>
      <xdr:rowOff>20483</xdr:rowOff>
    </xdr:to>
    <xdr:graphicFrame macro="">
      <xdr:nvGraphicFramePr>
        <xdr:cNvPr id="5" name="Chart 4">
          <a:extLst>
            <a:ext uri="{FF2B5EF4-FFF2-40B4-BE49-F238E27FC236}">
              <a16:creationId xmlns:a16="http://schemas.microsoft.com/office/drawing/2014/main" id="{017D6CAC-A84E-4F13-AF73-67CD7EE09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252260</xdr:colOff>
      <xdr:row>26</xdr:row>
      <xdr:rowOff>17397</xdr:rowOff>
    </xdr:from>
    <xdr:to>
      <xdr:col>4</xdr:col>
      <xdr:colOff>0</xdr:colOff>
      <xdr:row>35</xdr:row>
      <xdr:rowOff>79375</xdr:rowOff>
    </xdr:to>
    <mc:AlternateContent xmlns:mc="http://schemas.openxmlformats.org/markup-compatibility/2006">
      <mc:Choice xmlns:a14="http://schemas.microsoft.com/office/drawing/2010/main" Requires="a14">
        <xdr:graphicFrame macro="">
          <xdr:nvGraphicFramePr>
            <xdr:cNvPr id="6" name="Segment 1">
              <a:extLst>
                <a:ext uri="{FF2B5EF4-FFF2-40B4-BE49-F238E27FC236}">
                  <a16:creationId xmlns:a16="http://schemas.microsoft.com/office/drawing/2014/main" id="{356DA151-8714-4338-A24C-FF2B743F87A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52260" y="4998619"/>
              <a:ext cx="2174851" cy="1712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163254</xdr:colOff>
      <xdr:row>26</xdr:row>
      <xdr:rowOff>31375</xdr:rowOff>
    </xdr:from>
    <xdr:to>
      <xdr:col>8</xdr:col>
      <xdr:colOff>56697</xdr:colOff>
      <xdr:row>35</xdr:row>
      <xdr:rowOff>56695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1FD8CD05-220F-4951-803C-B46DAE10F22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90365" y="5012597"/>
              <a:ext cx="2320554" cy="167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408215</xdr:colOff>
      <xdr:row>26</xdr:row>
      <xdr:rowOff>68035</xdr:rowOff>
    </xdr:from>
    <xdr:to>
      <xdr:col>11</xdr:col>
      <xdr:colOff>374196</xdr:colOff>
      <xdr:row>35</xdr:row>
      <xdr:rowOff>45357</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A51A3F3C-18E8-432C-BD1E-839BEBBFB1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262437" y="5049257"/>
              <a:ext cx="1786315" cy="1628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refreshedDate="46200.611384722222" createdVersion="8" refreshedVersion="8" minRefreshableVersion="3" recordCount="1000" xr:uid="{0523CC3F-9B8E-4038-BDFD-4C32995D4B63}">
  <cacheSource type="worksheet">
    <worksheetSource name="Table1"/>
  </cacheSource>
  <cacheFields count="12">
    <cacheField name="Order ID" numFmtId="0">
      <sharedItems count="1000">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haredItems>
    </cacheField>
    <cacheField name="Order Date" numFmtId="0">
      <sharedItems count="346">
        <s v="2024-04-11"/>
        <s v="2024-06-22"/>
        <s v="2024-02-10"/>
        <s v="2024-01-01"/>
        <s v="2024-03-16"/>
        <s v="2024-07-04"/>
        <s v="2024-06-29"/>
        <s v="2024-10-31"/>
        <s v="2024-06-11"/>
        <s v="2024-03-20"/>
        <s v="2024-08-20"/>
        <s v="2024-03-17"/>
        <s v="2024-03-22"/>
        <s v="2024-10-26"/>
        <s v="2024-01-26"/>
        <s v="2024-06-02"/>
        <s v="2024-01-09"/>
        <s v="2024-11-30"/>
        <s v="2024-08-22"/>
        <s v="2024-12-26"/>
        <s v="2024-03-08"/>
        <s v="2024-04-16"/>
        <s v="2024-12-18"/>
        <s v="2024-12-10"/>
        <s v="2024-06-06"/>
        <s v="2024-05-30"/>
        <s v="2024-10-15"/>
        <s v="2024-09-29"/>
        <s v="2024-02-16"/>
        <s v="2024-05-22"/>
        <s v="2024-01-27"/>
        <s v="2024-04-23"/>
        <s v="2024-12-02"/>
        <s v="2024-11-02"/>
        <s v="2024-07-08"/>
        <s v="2024-09-06"/>
        <s v="2024-06-19"/>
        <s v="2024-10-14"/>
        <s v="2024-08-24"/>
        <s v="2024-10-17"/>
        <s v="2024-06-09"/>
        <s v="2024-12-15"/>
        <s v="2024-07-30"/>
        <s v="2024-11-08"/>
        <s v="2024-08-05"/>
        <s v="2024-01-19"/>
        <s v="2024-06-14"/>
        <s v="2024-04-30"/>
        <s v="2024-01-02"/>
        <s v="2024-02-17"/>
        <s v="2024-08-04"/>
        <s v="2024-10-01"/>
        <s v="2024-05-26"/>
        <s v="2024-09-26"/>
        <s v="2024-05-28"/>
        <s v="2024-07-15"/>
        <s v="2024-08-29"/>
        <s v="2024-10-02"/>
        <s v="2024-06-04"/>
        <s v="2024-03-05"/>
        <s v="2024-07-25"/>
        <s v="2024-05-07"/>
        <s v="2024-10-07"/>
        <s v="2024-09-21"/>
        <s v="2024-06-17"/>
        <s v="2024-09-11"/>
        <s v="2024-07-13"/>
        <s v="2024-12-20"/>
        <s v="2024-02-28"/>
        <s v="2024-10-25"/>
        <s v="2024-07-21"/>
        <s v="2024-07-16"/>
        <s v="2024-01-30"/>
        <s v="2024-01-28"/>
        <s v="2024-10-29"/>
        <s v="2024-05-25"/>
        <s v="2024-05-03"/>
        <s v="2024-02-15"/>
        <s v="2024-09-23"/>
        <s v="2024-05-23"/>
        <s v="2024-07-05"/>
        <s v="2024-11-04"/>
        <s v="2024-03-10"/>
        <s v="2024-04-24"/>
        <s v="2024-05-11"/>
        <s v="2024-10-27"/>
        <s v="2024-04-14"/>
        <s v="2024-01-16"/>
        <s v="2024-05-18"/>
        <s v="2024-06-26"/>
        <s v="2024-10-21"/>
        <s v="2024-01-22"/>
        <s v="2024-05-09"/>
        <s v="2024-06-25"/>
        <s v="2024-02-11"/>
        <s v="2024-05-27"/>
        <s v="2024-07-17"/>
        <s v="2024-06-18"/>
        <s v="2024-12-05"/>
        <s v="2024-11-25"/>
        <s v="2024-12-08"/>
        <s v="2024-12-29"/>
        <s v="2024-10-05"/>
        <s v="2024-06-30"/>
        <s v="2024-05-10"/>
        <s v="2024-07-22"/>
        <s v="2024-12-04"/>
        <s v="2024-05-19"/>
        <s v="2024-08-16"/>
        <s v="2024-09-03"/>
        <s v="2024-02-02"/>
        <s v="2024-12-01"/>
        <s v="2024-09-12"/>
        <s v="2024-07-29"/>
        <s v="2024-12-19"/>
        <s v="2024-12-14"/>
        <s v="2024-05-24"/>
        <s v="2024-08-10"/>
        <s v="2024-09-07"/>
        <s v="2024-08-06"/>
        <s v="2024-08-13"/>
        <s v="2024-11-06"/>
        <s v="2024-11-12"/>
        <s v="2024-07-26"/>
        <s v="2024-01-24"/>
        <s v="2024-05-08"/>
        <s v="2024-09-05"/>
        <s v="2024-09-10"/>
        <s v="2024-03-23"/>
        <s v="2024-01-12"/>
        <s v="2024-11-18"/>
        <s v="2024-03-24"/>
        <s v="2024-05-05"/>
        <s v="2024-04-28"/>
        <s v="2024-11-24"/>
        <s v="2024-05-21"/>
        <s v="2024-09-01"/>
        <s v="2024-03-03"/>
        <s v="2024-10-12"/>
        <s v="2024-09-28"/>
        <s v="2024-04-01"/>
        <s v="2024-08-19"/>
        <s v="2024-11-10"/>
        <s v="2024-06-10"/>
        <s v="2024-02-21"/>
        <s v="2024-06-27"/>
        <s v="2024-11-05"/>
        <s v="2024-03-28"/>
        <s v="2024-06-15"/>
        <s v="2024-07-28"/>
        <s v="2024-09-08"/>
        <s v="2024-08-09"/>
        <s v="2024-09-20"/>
        <s v="2024-07-10"/>
        <s v="2024-10-11"/>
        <s v="2024-12-07"/>
        <s v="2024-10-23"/>
        <s v="2024-11-22"/>
        <s v="2024-02-05"/>
        <s v="2024-04-25"/>
        <s v="2024-04-18"/>
        <s v="2024-09-15"/>
        <s v="2024-12-09"/>
        <s v="2024-01-23"/>
        <s v="2024-12-24"/>
        <s v="2024-01-21"/>
        <s v="2024-04-20"/>
        <s v="2024-06-16"/>
        <s v="2024-02-04"/>
        <s v="2024-10-06"/>
        <s v="2024-03-30"/>
        <s v="2024-10-08"/>
        <s v="2024-02-12"/>
        <s v="2024-08-03"/>
        <s v="2024-08-11"/>
        <s v="2024-05-29"/>
        <s v="2024-12-23"/>
        <s v="2024-07-01"/>
        <s v="2024-08-31"/>
        <s v="2024-01-03"/>
        <s v="2024-02-18"/>
        <s v="2024-01-05"/>
        <s v="2024-12-30"/>
        <s v="2024-10-22"/>
        <s v="2024-07-23"/>
        <s v="2024-06-28"/>
        <s v="2024-01-18"/>
        <s v="2024-03-26"/>
        <s v="2024-04-04"/>
        <s v="2024-03-01"/>
        <s v="2024-06-01"/>
        <s v="2024-05-14"/>
        <s v="2024-04-02"/>
        <s v="2024-08-21"/>
        <s v="2024-10-24"/>
        <s v="2024-07-20"/>
        <s v="2024-09-24"/>
        <s v="2024-12-12"/>
        <s v="2024-02-03"/>
        <s v="2024-08-01"/>
        <s v="2024-06-21"/>
        <s v="2024-01-04"/>
        <s v="2024-04-27"/>
        <s v="2024-12-06"/>
        <s v="2024-11-26"/>
        <s v="2024-08-25"/>
        <s v="2024-05-02"/>
        <s v="2024-09-14"/>
        <s v="2024-03-02"/>
        <s v="2024-01-08"/>
        <s v="2024-07-03"/>
        <s v="2024-06-24"/>
        <s v="2024-08-15"/>
        <s v="2024-02-07"/>
        <s v="2024-03-29"/>
        <s v="2024-01-07"/>
        <s v="2024-06-23"/>
        <s v="2024-07-06"/>
        <s v="2024-04-10"/>
        <s v="2024-02-29"/>
        <s v="2024-11-15"/>
        <s v="2024-03-07"/>
        <s v="2024-11-20"/>
        <s v="2024-11-29"/>
        <s v="2024-03-06"/>
        <s v="2024-04-17"/>
        <s v="2024-12-03"/>
        <s v="2024-04-29"/>
        <s v="2024-12-27"/>
        <s v="2024-01-10"/>
        <s v="2024-09-30"/>
        <s v="2024-10-09"/>
        <s v="2024-02-23"/>
        <s v="2024-05-16"/>
        <s v="2024-12-25"/>
        <s v="2024-08-12"/>
        <s v="2024-11-16"/>
        <s v="2024-07-14"/>
        <s v="2024-07-18"/>
        <s v="2024-07-24"/>
        <s v="2024-06-20"/>
        <s v="2024-10-13"/>
        <s v="2024-11-13"/>
        <s v="2024-09-04"/>
        <s v="2024-11-28"/>
        <s v="2024-07-07"/>
        <s v="2024-06-12"/>
        <s v="2024-11-27"/>
        <s v="2024-10-18"/>
        <s v="2024-11-03"/>
        <s v="2024-05-12"/>
        <s v="2024-05-17"/>
        <s v="2024-12-21"/>
        <s v="2024-02-01"/>
        <s v="2024-01-31"/>
        <s v="2024-08-18"/>
        <s v="2024-09-22"/>
        <s v="2024-05-01"/>
        <s v="2024-01-11"/>
        <s v="2024-03-21"/>
        <s v="2024-04-21"/>
        <s v="2024-06-03"/>
        <s v="2024-10-03"/>
        <s v="2024-02-22"/>
        <s v="2024-08-08"/>
        <s v="2024-10-19"/>
        <s v="2024-11-17"/>
        <s v="2024-11-09"/>
        <s v="2024-03-04"/>
        <s v="2024-09-02"/>
        <s v="2024-05-13"/>
        <s v="2024-05-04"/>
        <s v="2024-02-27"/>
        <s v="2024-07-31"/>
        <s v="2024-02-26"/>
        <s v="2024-01-29"/>
        <s v="2024-03-13"/>
        <s v="2024-12-11"/>
        <s v="2024-02-13"/>
        <s v="2024-04-12"/>
        <s v="2024-07-09"/>
        <s v="2024-12-17"/>
        <s v="2024-08-23"/>
        <s v="2024-09-18"/>
        <s v="2024-06-07"/>
        <s v="2024-05-06"/>
        <s v="2024-10-30"/>
        <s v="2024-10-04"/>
        <s v="2024-01-25"/>
        <s v="2024-01-13"/>
        <s v="2024-02-08"/>
        <s v="2024-01-17"/>
        <s v="2024-01-06"/>
        <s v="2024-08-27"/>
        <s v="2024-09-19"/>
        <s v="2024-03-19"/>
        <s v="2024-04-26"/>
        <s v="2024-09-16"/>
        <s v="2024-10-16"/>
        <s v="2024-07-12"/>
        <s v="2024-06-05"/>
        <s v="2024-02-25"/>
        <s v="2024-05-20"/>
        <s v="2024-09-09"/>
        <s v="2024-05-15"/>
        <s v="2024-03-31"/>
        <s v="2024-02-14"/>
        <s v="2024-04-08"/>
        <s v="2024-04-09"/>
        <s v="2024-04-06"/>
        <s v="2024-08-30"/>
        <s v="2024-11-21"/>
        <s v="2024-09-17"/>
        <s v="2024-07-11"/>
        <s v="2024-04-03"/>
        <s v="2024-03-12"/>
        <s v="2024-12-28"/>
        <s v="2024-11-11"/>
        <s v="2024-03-09"/>
        <s v="2024-02-09"/>
        <s v="2024-09-27"/>
        <s v="2024-05-31"/>
        <s v="2024-08-07"/>
        <s v="2024-12-16"/>
        <s v="2024-07-27"/>
        <s v="2024-03-15"/>
        <s v="2024-03-11"/>
        <s v="2024-11-07"/>
        <s v="2024-10-20"/>
        <s v="2024-07-19"/>
        <s v="2024-08-02"/>
        <s v="2024-08-17"/>
        <s v="2024-11-14"/>
        <s v="2024-03-14"/>
        <s v="2024-01-14"/>
        <s v="2024-03-18"/>
        <s v="2024-03-27"/>
        <s v="2024-06-08"/>
        <s v="2024-04-15"/>
        <s v="2024-04-13"/>
        <s v="2024-03-25"/>
        <s v="2024-01-15"/>
        <s v="2024-09-25"/>
        <s v="2024-07-02"/>
        <s v="2024-02-20"/>
        <s v="2024-06-13"/>
      </sharedItems>
    </cacheField>
    <cacheField name="Region" numFmtId="0">
      <sharedItems count="4">
        <s v="North"/>
        <s v="South"/>
        <s v="East"/>
        <s v="West"/>
      </sharedItems>
    </cacheField>
    <cacheField name="State" numFmtId="0">
      <sharedItems/>
    </cacheField>
    <cacheField name="Category" numFmtId="0">
      <sharedItems count="3">
        <s v="Technology"/>
        <s v="Office Supplies"/>
        <s v="Furniture"/>
      </sharedItems>
    </cacheField>
    <cacheField name="Sub-Category" numFmtId="0">
      <sharedItems/>
    </cacheField>
    <cacheField name="Product" numFmtId="0">
      <sharedItems count="179">
        <s v="Laptop Model 8"/>
        <s v="Paper Model 7"/>
        <s v="Mouse Model 12"/>
        <s v="Mouse Model 10"/>
        <s v="Printer Model 20"/>
        <s v="Printer Model 13"/>
        <s v="Mouse Model 16"/>
        <s v="Table Model 11"/>
        <s v="Mouse Model 5"/>
        <s v="Table Model 14"/>
        <s v="Mouse Model 13"/>
        <s v="Chair Model 5"/>
        <s v="Binder Model 20"/>
        <s v="Mouse Model 20"/>
        <s v="Bookcase Model 12"/>
        <s v="Printer Model 5"/>
        <s v="Table Model 1"/>
        <s v="Mouse Model 18"/>
        <s v="Chair Model 16"/>
        <s v="Paper Model 3"/>
        <s v="Laptop Model 4"/>
        <s v="Pen Model 1"/>
        <s v="Chair Model 6"/>
        <s v="Binder Model 10"/>
        <s v="Pen Model 12"/>
        <s v="Paper Model 2"/>
        <s v="Mouse Model 6"/>
        <s v="Binder Model 15"/>
        <s v="Pen Model 9"/>
        <s v="Table Model 4"/>
        <s v="Binder Model 7"/>
        <s v="Laptop Model 3"/>
        <s v="Table Model 18"/>
        <s v="Table Model 9"/>
        <s v="Paper Model 17"/>
        <s v="Laptop Model 7"/>
        <s v="Printer Model 1"/>
        <s v="Pen Model 8"/>
        <s v="Bookcase Model 16"/>
        <s v="Laptop Model 10"/>
        <s v="Chair Model 18"/>
        <s v="Table Model 5"/>
        <s v="Pen Model 13"/>
        <s v="Printer Model 17"/>
        <s v="Binder Model 12"/>
        <s v="Paper Model 14"/>
        <s v="Pen Model 6"/>
        <s v="Paper Model 20"/>
        <s v="Laptop Model 19"/>
        <s v="Paper Model 5"/>
        <s v="Binder Model 11"/>
        <s v="Printer Model 2"/>
        <s v="Pen Model 19"/>
        <s v="Binder Model 2"/>
        <s v="Paper Model 9"/>
        <s v="Bookcase Model 1"/>
        <s v="Chair Model 9"/>
        <s v="Printer Model 16"/>
        <s v="Laptop Model 16"/>
        <s v="Laptop Model 11"/>
        <s v="Pen Model 10"/>
        <s v="Table Model 15"/>
        <s v="Bookcase Model 2"/>
        <s v="Paper Model 1"/>
        <s v="Bookcase Model 13"/>
        <s v="Pen Model 17"/>
        <s v="Printer Model 6"/>
        <s v="Laptop Model 18"/>
        <s v="Table Model 20"/>
        <s v="Laptop Model 15"/>
        <s v="Chair Model 11"/>
        <s v="Binder Model 14"/>
        <s v="Bookcase Model 6"/>
        <s v="Paper Model 11"/>
        <s v="Laptop Model 2"/>
        <s v="Binder Model 6"/>
        <s v="Table Model 6"/>
        <s v="Chair Model 14"/>
        <s v="Mouse Model 11"/>
        <s v="Chair Model 3"/>
        <s v="Chair Model 19"/>
        <s v="Chair Model 7"/>
        <s v="Printer Model 8"/>
        <s v="Printer Model 12"/>
        <s v="Bookcase Model 3"/>
        <s v="Binder Model 8"/>
        <s v="Bookcase Model 11"/>
        <s v="Printer Model 4"/>
        <s v="Pen Model 14"/>
        <s v="Paper Model 12"/>
        <s v="Bookcase Model 8"/>
        <s v="Laptop Model 5"/>
        <s v="Mouse Model 14"/>
        <s v="Bookcase Model 19"/>
        <s v="Table Model 16"/>
        <s v="Paper Model 16"/>
        <s v="Laptop Model 17"/>
        <s v="Table Model 10"/>
        <s v="Table Model 19"/>
        <s v="Bookcase Model 17"/>
        <s v="Mouse Model 17"/>
        <s v="Paper Model 4"/>
        <s v="Bookcase Model 4"/>
        <s v="Bookcase Model 9"/>
        <s v="Pen Model 15"/>
        <s v="Table Model 8"/>
        <s v="Paper Model 8"/>
        <s v="Bookcase Model 18"/>
        <s v="Mouse Model 9"/>
        <s v="Bookcase Model 10"/>
        <s v="Laptop Model 13"/>
        <s v="Paper Model 15"/>
        <s v="Pen Model 20"/>
        <s v="Mouse Model 1"/>
        <s v="Mouse Model 15"/>
        <s v="Chair Model 17"/>
        <s v="Printer Model 9"/>
        <s v="Binder Model 1"/>
        <s v="Chair Model 12"/>
        <s v="Binder Model 4"/>
        <s v="Chair Model 8"/>
        <s v="Binder Model 18"/>
        <s v="Bookcase Model 20"/>
        <s v="Mouse Model 8"/>
        <s v="Table Model 17"/>
        <s v="Chair Model 10"/>
        <s v="Printer Model 3"/>
        <s v="Laptop Model 14"/>
        <s v="Paper Model 19"/>
        <s v="Pen Model 3"/>
        <s v="Binder Model 16"/>
        <s v="Table Model 2"/>
        <s v="Pen Model 16"/>
        <s v="Pen Model 2"/>
        <s v="Laptop Model 1"/>
        <s v="Printer Model 19"/>
        <s v="Binder Model 9"/>
        <s v="Printer Model 18"/>
        <s v="Pen Model 5"/>
        <s v="Mouse Model 2"/>
        <s v="Binder Model 5"/>
        <s v="Paper Model 18"/>
        <s v="Table Model 3"/>
        <s v="Paper Model 10"/>
        <s v="Binder Model 19"/>
        <s v="Mouse Model 4"/>
        <s v="Pen Model 7"/>
        <s v="Table Model 13"/>
        <s v="Laptop Model 20"/>
        <s v="Printer Model 11"/>
        <s v="Bookcase Model 14"/>
        <s v="Chair Model 1"/>
        <s v="Pen Model 11"/>
        <s v="Laptop Model 12"/>
        <s v="Bookcase Model 15"/>
        <s v="Paper Model 13"/>
        <s v="Bookcase Model 7"/>
        <s v="Binder Model 17"/>
        <s v="Printer Model 15"/>
        <s v="Laptop Model 9"/>
        <s v="Printer Model 10"/>
        <s v="Chair Model 15"/>
        <s v="Printer Model 7"/>
        <s v="Laptop Model 6"/>
        <s v="Binder Model 13"/>
        <s v="Chair Model 2"/>
        <s v="Bookcase Model 5"/>
        <s v="Paper Model 6"/>
        <s v="Table Model 12"/>
        <s v="Chair Model 20"/>
        <s v="Mouse Model 7"/>
        <s v="Binder Model 3"/>
        <s v="Chair Model 4"/>
        <s v="Pen Model 4"/>
        <s v="Mouse Model 19"/>
        <s v="Chair Model 13"/>
        <s v="Pen Model 18"/>
        <s v="Mouse Model 3"/>
        <s v="Table Model 7"/>
      </sharedItems>
    </cacheField>
    <cacheField name="Sales" numFmtId="0">
      <sharedItems containsSemiMixedTypes="0" containsString="0" containsNumber="1" minValue="200.2" maxValue="4983.62" count="998">
        <n v="766.59"/>
        <n v="3057.15"/>
        <n v="3044.51"/>
        <n v="4211.2299999999996"/>
        <n v="4444.88"/>
        <n v="2715.78"/>
        <n v="2203.6"/>
        <n v="1725.98"/>
        <n v="3127.96"/>
        <n v="1340.83"/>
        <n v="3270.12"/>
        <n v="4184.8999999999996"/>
        <n v="3186.04"/>
        <n v="4055.49"/>
        <n v="1649.07"/>
        <n v="1375.56"/>
        <n v="3731.07"/>
        <n v="3442.08"/>
        <n v="2122.34"/>
        <n v="4955.17"/>
        <n v="3642.94"/>
        <n v="881.88"/>
        <n v="959.17"/>
        <n v="373.91"/>
        <n v="4528.83"/>
        <n v="2741.08"/>
        <n v="1945.33"/>
        <n v="3246.92"/>
        <n v="4808.53"/>
        <n v="970.3"/>
        <n v="2930.27"/>
        <n v="270.79000000000002"/>
        <n v="1305.31"/>
        <n v="690.92"/>
        <n v="3722.23"/>
        <n v="1550.98"/>
        <n v="637.57000000000005"/>
        <n v="2963.89"/>
        <n v="1149.22"/>
        <n v="2116.86"/>
        <n v="4408.92"/>
        <n v="2434.41"/>
        <n v="3533.33"/>
        <n v="686.01"/>
        <n v="2692.6"/>
        <n v="4523.4399999999996"/>
        <n v="3238.3"/>
        <n v="831.46"/>
        <n v="2617.7399999999998"/>
        <n v="4320.7"/>
        <n v="3959.14"/>
        <n v="3003.75"/>
        <n v="2430.83"/>
        <n v="3618.67"/>
        <n v="1419.72"/>
        <n v="3266"/>
        <n v="1234.25"/>
        <n v="2349.44"/>
        <n v="2450.52"/>
        <n v="3028.08"/>
        <n v="1019.31"/>
        <n v="4276.26"/>
        <n v="3624.1"/>
        <n v="3098.41"/>
        <n v="864.23"/>
        <n v="1674.7"/>
        <n v="1523.45"/>
        <n v="2931.11"/>
        <n v="510.38"/>
        <n v="2651.51"/>
        <n v="2486.64"/>
        <n v="4154.28"/>
        <n v="4105.88"/>
        <n v="1668.36"/>
        <n v="3095.55"/>
        <n v="1159.23"/>
        <n v="646.49"/>
        <n v="3031.1"/>
        <n v="4561.07"/>
        <n v="3269.47"/>
        <n v="4060.66"/>
        <n v="4271.3500000000004"/>
        <n v="3545.36"/>
        <n v="261.56"/>
        <n v="630.32000000000005"/>
        <n v="2770.61"/>
        <n v="2530.21"/>
        <n v="4949.63"/>
        <n v="4035.56"/>
        <n v="2361.73"/>
        <n v="2913.85"/>
        <n v="4651.3"/>
        <n v="1107.55"/>
        <n v="1990.62"/>
        <n v="775.14"/>
        <n v="2074.2199999999998"/>
        <n v="618.51"/>
        <n v="3121.42"/>
        <n v="2099.6799999999998"/>
        <n v="1252.18"/>
        <n v="4940.6899999999996"/>
        <n v="1906.99"/>
        <n v="3006.96"/>
        <n v="3634.64"/>
        <n v="4345.26"/>
        <n v="3030.44"/>
        <n v="3549.55"/>
        <n v="2634.72"/>
        <n v="4321.68"/>
        <n v="4843.8500000000004"/>
        <n v="1983.33"/>
        <n v="3019.99"/>
        <n v="1882.87"/>
        <n v="3622.91"/>
        <n v="3628.63"/>
        <n v="2128.8000000000002"/>
        <n v="3942.82"/>
        <n v="3406.29"/>
        <n v="1950.2"/>
        <n v="3915.8"/>
        <n v="2059.2600000000002"/>
        <n v="2771.3"/>
        <n v="2726.94"/>
        <n v="4791.57"/>
        <n v="1727.21"/>
        <n v="2293.0500000000002"/>
        <n v="3490.26"/>
        <n v="4294.76"/>
        <n v="4721.99"/>
        <n v="1598.33"/>
        <n v="1024.71"/>
        <n v="1806.36"/>
        <n v="3121.55"/>
        <n v="3855.65"/>
        <n v="1132.81"/>
        <n v="3019.02"/>
        <n v="1294.95"/>
        <n v="4922.6899999999996"/>
        <n v="1034.83"/>
        <n v="2569.27"/>
        <n v="1778.5"/>
        <n v="978.05"/>
        <n v="1373.86"/>
        <n v="2711.18"/>
        <n v="2477.5"/>
        <n v="1745.57"/>
        <n v="324.48"/>
        <n v="4483.17"/>
        <n v="4104.29"/>
        <n v="4862.01"/>
        <n v="4159.03"/>
        <n v="4846.03"/>
        <n v="4920.99"/>
        <n v="3407.24"/>
        <n v="3934.4"/>
        <n v="4025.19"/>
        <n v="1876.81"/>
        <n v="4521.34"/>
        <n v="644.62"/>
        <n v="2787.83"/>
        <n v="817.93"/>
        <n v="1924.84"/>
        <n v="1565.2"/>
        <n v="2633.35"/>
        <n v="4083.02"/>
        <n v="1367.54"/>
        <n v="2739.57"/>
        <n v="2598.1799999999998"/>
        <n v="651.54999999999995"/>
        <n v="588.9"/>
        <n v="3858.94"/>
        <n v="1618.4"/>
        <n v="2574.0300000000002"/>
        <n v="3917.08"/>
        <n v="4254.8900000000003"/>
        <n v="1487.63"/>
        <n v="4144.2299999999996"/>
        <n v="4797.26"/>
        <n v="1306.7"/>
        <n v="3409.07"/>
        <n v="743.2"/>
        <n v="690.06"/>
        <n v="3305.58"/>
        <n v="422.5"/>
        <n v="1069.46"/>
        <n v="2753.34"/>
        <n v="3303.39"/>
        <n v="4929.29"/>
        <n v="4902.2700000000004"/>
        <n v="4574.41"/>
        <n v="2824.21"/>
        <n v="1655.8"/>
        <n v="2767.12"/>
        <n v="2225.9899999999998"/>
        <n v="356.76"/>
        <n v="3008.19"/>
        <n v="324.29000000000002"/>
        <n v="3047.62"/>
        <n v="1575.79"/>
        <n v="728.56"/>
        <n v="4486.01"/>
        <n v="3963.71"/>
        <n v="2305.9899999999998"/>
        <n v="2478.5500000000002"/>
        <n v="880.22"/>
        <n v="3135.39"/>
        <n v="1610.4"/>
        <n v="3129.13"/>
        <n v="4307.5600000000004"/>
        <n v="862.92"/>
        <n v="3200.03"/>
        <n v="2464.31"/>
        <n v="585.80999999999995"/>
        <n v="2762.84"/>
        <n v="3092.45"/>
        <n v="2745.89"/>
        <n v="4176.08"/>
        <n v="2035.97"/>
        <n v="4535.53"/>
        <n v="2960.67"/>
        <n v="4856.71"/>
        <n v="969.23"/>
        <n v="4561.87"/>
        <n v="1636.92"/>
        <n v="3689.12"/>
        <n v="3072.63"/>
        <n v="1611.81"/>
        <n v="2505.7399999999998"/>
        <n v="1640.17"/>
        <n v="4287.67"/>
        <n v="1992.19"/>
        <n v="3632.7"/>
        <n v="3871.85"/>
        <n v="4479.18"/>
        <n v="3923.66"/>
        <n v="3689.63"/>
        <n v="2144.1"/>
        <n v="4090.73"/>
        <n v="1772.98"/>
        <n v="1989.2"/>
        <n v="3602.38"/>
        <n v="2508.83"/>
        <n v="1459.22"/>
        <n v="1062.6500000000001"/>
        <n v="1998.33"/>
        <n v="1739.49"/>
        <n v="2148.7399999999998"/>
        <n v="4293.51"/>
        <n v="4524.83"/>
        <n v="3588"/>
        <n v="767.59"/>
        <n v="1642.72"/>
        <n v="484.99"/>
        <n v="301.10000000000002"/>
        <n v="2126.37"/>
        <n v="326.01"/>
        <n v="715.88"/>
        <n v="3341.14"/>
        <n v="3659.15"/>
        <n v="3702.64"/>
        <n v="1189.47"/>
        <n v="4222.6899999999996"/>
        <n v="4153.84"/>
        <n v="4817.8900000000003"/>
        <n v="3724.99"/>
        <n v="3810.69"/>
        <n v="2372.6"/>
        <n v="542.17999999999995"/>
        <n v="3440.8"/>
        <n v="1133.93"/>
        <n v="1189.21"/>
        <n v="3415.67"/>
        <n v="3928.19"/>
        <n v="1866.62"/>
        <n v="1242.48"/>
        <n v="4764.6099999999997"/>
        <n v="1930.21"/>
        <n v="1326.97"/>
        <n v="2588.37"/>
        <n v="2477.3000000000002"/>
        <n v="3592.29"/>
        <n v="2844.78"/>
        <n v="985.87"/>
        <n v="4102.17"/>
        <n v="1665.06"/>
        <n v="2467.5500000000002"/>
        <n v="2294.41"/>
        <n v="3126.18"/>
        <n v="4172.12"/>
        <n v="3272.49"/>
        <n v="3832.19"/>
        <n v="2877.97"/>
        <n v="4878.8"/>
        <n v="1489.25"/>
        <n v="2735.75"/>
        <n v="1744.91"/>
        <n v="414.8"/>
        <n v="1541.01"/>
        <n v="2582.3200000000002"/>
        <n v="3902.57"/>
        <n v="2657.48"/>
        <n v="3340.31"/>
        <n v="2855.7"/>
        <n v="904.57"/>
        <n v="987.73"/>
        <n v="225.07"/>
        <n v="1056.1099999999999"/>
        <n v="3347.74"/>
        <n v="1688.24"/>
        <n v="536.16999999999996"/>
        <n v="1217.19"/>
        <n v="494.74"/>
        <n v="3512.58"/>
        <n v="1021.75"/>
        <n v="202.48"/>
        <n v="1231.53"/>
        <n v="1746.73"/>
        <n v="3221.07"/>
        <n v="4299.3100000000004"/>
        <n v="3916.5"/>
        <n v="2870.33"/>
        <n v="784.97"/>
        <n v="1937.72"/>
        <n v="4968.59"/>
        <n v="4386.87"/>
        <n v="4074.24"/>
        <n v="647.48"/>
        <n v="2914.77"/>
        <n v="2917.48"/>
        <n v="3906.79"/>
        <n v="4387.3900000000003"/>
        <n v="1929.24"/>
        <n v="1660.44"/>
        <n v="2691.9"/>
        <n v="208.34"/>
        <n v="2606.8200000000002"/>
        <n v="1915.02"/>
        <n v="200.2"/>
        <n v="4421.5600000000004"/>
        <n v="2555.59"/>
        <n v="3540.09"/>
        <n v="3587.69"/>
        <n v="760.84"/>
        <n v="1590.21"/>
        <n v="4287.16"/>
        <n v="4952.53"/>
        <n v="3810.64"/>
        <n v="4526.25"/>
        <n v="3365.83"/>
        <n v="3208.65"/>
        <n v="3546.83"/>
        <n v="4796.96"/>
        <n v="4796.53"/>
        <n v="1416.01"/>
        <n v="1392.14"/>
        <n v="4766.97"/>
        <n v="3947.75"/>
        <n v="2740.91"/>
        <n v="2422.5700000000002"/>
        <n v="2372.65"/>
        <n v="2642.58"/>
        <n v="3852.24"/>
        <n v="4399.49"/>
        <n v="4584.6400000000003"/>
        <n v="417.39"/>
        <n v="673"/>
        <n v="1937.64"/>
        <n v="4208.01"/>
        <n v="2325.5700000000002"/>
        <n v="3408.33"/>
        <n v="3234.54"/>
        <n v="2545.5500000000002"/>
        <n v="493.14"/>
        <n v="977.11"/>
        <n v="1330.53"/>
        <n v="775.65"/>
        <n v="1643.9"/>
        <n v="2853.18"/>
        <n v="773.02"/>
        <n v="4847.07"/>
        <n v="1883.64"/>
        <n v="4281.37"/>
        <n v="4775.8100000000004"/>
        <n v="2981.14"/>
        <n v="3952.65"/>
        <n v="1736.96"/>
        <n v="3643.51"/>
        <n v="328.62"/>
        <n v="1755.58"/>
        <n v="4438.79"/>
        <n v="2083.5"/>
        <n v="916.1"/>
        <n v="1286.4000000000001"/>
        <n v="4077.71"/>
        <n v="4946.74"/>
        <n v="1982.56"/>
        <n v="4705.5600000000004"/>
        <n v="2361.9899999999998"/>
        <n v="2190.2199999999998"/>
        <n v="204.14"/>
        <n v="2789.22"/>
        <n v="4168.74"/>
        <n v="830.62"/>
        <n v="1561.86"/>
        <n v="379.28"/>
        <n v="1976.21"/>
        <n v="234.36"/>
        <n v="2063.6799999999998"/>
        <n v="202.83"/>
        <n v="4551.3500000000004"/>
        <n v="1450.03"/>
        <n v="228.81"/>
        <n v="2785.84"/>
        <n v="2759.27"/>
        <n v="2147.23"/>
        <n v="950.4"/>
        <n v="3339.73"/>
        <n v="583.79999999999995"/>
        <n v="2914.03"/>
        <n v="1353.28"/>
        <n v="2079.7600000000002"/>
        <n v="2016.56"/>
        <n v="4701.51"/>
        <n v="221.55"/>
        <n v="887.4"/>
        <n v="4340.43"/>
        <n v="1958.47"/>
        <n v="1016.15"/>
        <n v="3605.43"/>
        <n v="944.76"/>
        <n v="2021"/>
        <n v="1430.55"/>
        <n v="4767.21"/>
        <n v="4265.47"/>
        <n v="977.24"/>
        <n v="3055.98"/>
        <n v="971.33"/>
        <n v="4722.3900000000003"/>
        <n v="1010.63"/>
        <n v="1992.81"/>
        <n v="1751.77"/>
        <n v="2113.6799999999998"/>
        <n v="2497.02"/>
        <n v="1848.99"/>
        <n v="3672.76"/>
        <n v="4059.12"/>
        <n v="4857.7299999999996"/>
        <n v="4658.76"/>
        <n v="1929.02"/>
        <n v="2464.02"/>
        <n v="3387.12"/>
        <n v="657.81"/>
        <n v="4728.8599999999997"/>
        <n v="521.22"/>
        <n v="2332.3200000000002"/>
        <n v="3039.98"/>
        <n v="1927.32"/>
        <n v="1052.73"/>
        <n v="1629.54"/>
        <n v="2290.3000000000002"/>
        <n v="585.11"/>
        <n v="3435.83"/>
        <n v="4767.7"/>
        <n v="3373.09"/>
        <n v="4418.51"/>
        <n v="4646.34"/>
        <n v="3623.13"/>
        <n v="4727.33"/>
        <n v="4027.6"/>
        <n v="4709.8500000000004"/>
        <n v="2684.93"/>
        <n v="1724.58"/>
        <n v="2528.84"/>
        <n v="2504.87"/>
        <n v="1537.43"/>
        <n v="3686.79"/>
        <n v="913.01"/>
        <n v="2920.37"/>
        <n v="915.36"/>
        <n v="3476.2"/>
        <n v="1726.33"/>
        <n v="3228.15"/>
        <n v="4749.3599999999997"/>
        <n v="643.12"/>
        <n v="4183.12"/>
        <n v="3387.43"/>
        <n v="4101.47"/>
        <n v="1882.68"/>
        <n v="325.29000000000002"/>
        <n v="1905.24"/>
        <n v="3328"/>
        <n v="677.13"/>
        <n v="4215.5600000000004"/>
        <n v="629.16"/>
        <n v="4243.3599999999997"/>
        <n v="2512.5500000000002"/>
        <n v="3027.11"/>
        <n v="4797.0600000000004"/>
        <n v="289.23"/>
        <n v="1438.17"/>
        <n v="3048.81"/>
        <n v="1005.25"/>
        <n v="4487.8900000000003"/>
        <n v="1180.58"/>
        <n v="3168.43"/>
        <n v="4459.84"/>
        <n v="345.68"/>
        <n v="896.51"/>
        <n v="3299.58"/>
        <n v="698.26"/>
        <n v="980.65"/>
        <n v="1164.1600000000001"/>
        <n v="3193.97"/>
        <n v="4361"/>
        <n v="681.79"/>
        <n v="4712.21"/>
        <n v="3740.04"/>
        <n v="2596.81"/>
        <n v="1529.03"/>
        <n v="2265.4299999999998"/>
        <n v="834.12"/>
        <n v="3240.76"/>
        <n v="1379.61"/>
        <n v="2229.7600000000002"/>
        <n v="3315.22"/>
        <n v="3398.18"/>
        <n v="4626.97"/>
        <n v="657.13"/>
        <n v="1090.1300000000001"/>
        <n v="4161.6099999999997"/>
        <n v="2096.91"/>
        <n v="1052.74"/>
        <n v="962.57"/>
        <n v="3785.23"/>
        <n v="1087.44"/>
        <n v="621.55999999999995"/>
        <n v="322.31"/>
        <n v="3375.14"/>
        <n v="909.28"/>
        <n v="4431.97"/>
        <n v="2668.17"/>
        <n v="2717.11"/>
        <n v="215.09"/>
        <n v="1397.5"/>
        <n v="2710.35"/>
        <n v="3461.41"/>
        <n v="3687.84"/>
        <n v="753.7"/>
        <n v="280.58999999999997"/>
        <n v="1597.49"/>
        <n v="1320.24"/>
        <n v="551.87"/>
        <n v="2517.98"/>
        <n v="4785.4799999999996"/>
        <n v="1386.84"/>
        <n v="4174.6400000000003"/>
        <n v="1203.05"/>
        <n v="2195.89"/>
        <n v="3518.27"/>
        <n v="1751.97"/>
        <n v="436.9"/>
        <n v="4701.57"/>
        <n v="654.09"/>
        <n v="1404.64"/>
        <n v="348.95"/>
        <n v="351.16"/>
        <n v="1770.9"/>
        <n v="4134.51"/>
        <n v="2899.49"/>
        <n v="1749.94"/>
        <n v="463.99"/>
        <n v="3304.11"/>
        <n v="3163.87"/>
        <n v="3901.85"/>
        <n v="1935.86"/>
        <n v="910.19"/>
        <n v="4125.7"/>
        <n v="760.75"/>
        <n v="2230.67"/>
        <n v="1332.85"/>
        <n v="2362.96"/>
        <n v="3456.39"/>
        <n v="664.66"/>
        <n v="3971.59"/>
        <n v="333.93"/>
        <n v="3005.04"/>
        <n v="2430.38"/>
        <n v="3528.57"/>
        <n v="2459.11"/>
        <n v="4528.33"/>
        <n v="588.23"/>
        <n v="3758.75"/>
        <n v="4673.3100000000004"/>
        <n v="978.78"/>
        <n v="3816.89"/>
        <n v="976.59"/>
        <n v="782.25"/>
        <n v="4580.76"/>
        <n v="1000.58"/>
        <n v="2700.48"/>
        <n v="4826.2299999999996"/>
        <n v="725.54"/>
        <n v="442.73"/>
        <n v="4869.66"/>
        <n v="4280.3999999999996"/>
        <n v="767.48"/>
        <n v="1032.45"/>
        <n v="2059.1799999999998"/>
        <n v="2760.27"/>
        <n v="2846.42"/>
        <n v="2480.69"/>
        <n v="4725.54"/>
        <n v="688.61"/>
        <n v="1356.22"/>
        <n v="4837.76"/>
        <n v="3460.54"/>
        <n v="2844.21"/>
        <n v="4020.25"/>
        <n v="2117.64"/>
        <n v="1140.5"/>
        <n v="4354.72"/>
        <n v="1116.77"/>
        <n v="1002.65"/>
        <n v="3345.46"/>
        <n v="3481.07"/>
        <n v="4068.69"/>
        <n v="254.56"/>
        <n v="2247.3200000000002"/>
        <n v="2322.5500000000002"/>
        <n v="943.33"/>
        <n v="4129.4799999999996"/>
        <n v="2992.74"/>
        <n v="1333.98"/>
        <n v="468.9"/>
        <n v="3783.9"/>
        <n v="2460.25"/>
        <n v="4729.41"/>
        <n v="1279.18"/>
        <n v="1002.01"/>
        <n v="4085.73"/>
        <n v="715.19"/>
        <n v="2149.8200000000002"/>
        <n v="1105.54"/>
        <n v="2874.27"/>
        <n v="2318.21"/>
        <n v="4890.2"/>
        <n v="4869.32"/>
        <n v="3993.77"/>
        <n v="2108.2199999999998"/>
        <n v="4164"/>
        <n v="650.87"/>
        <n v="4230.8500000000004"/>
        <n v="3934.45"/>
        <n v="3216.86"/>
        <n v="3436.03"/>
        <n v="3641.26"/>
        <n v="1084.07"/>
        <n v="3581.93"/>
        <n v="3426.76"/>
        <n v="1976.7"/>
        <n v="3251.54"/>
        <n v="523.30999999999995"/>
        <n v="3880.2"/>
        <n v="3306.19"/>
        <n v="2601.09"/>
        <n v="2724.89"/>
        <n v="3661.1"/>
        <n v="273.75"/>
        <n v="1043.31"/>
        <n v="1603.98"/>
        <n v="4843.0600000000004"/>
        <n v="3092.03"/>
        <n v="4284.72"/>
        <n v="4209.24"/>
        <n v="2370.13"/>
        <n v="3126.74"/>
        <n v="3097.34"/>
        <n v="3457.07"/>
        <n v="4172.1000000000004"/>
        <n v="2562.65"/>
        <n v="906.43"/>
        <n v="2507.52"/>
        <n v="3999"/>
        <n v="1139.6099999999999"/>
        <n v="1588.06"/>
        <n v="383.68"/>
        <n v="2144.61"/>
        <n v="2308.67"/>
        <n v="479.07"/>
        <n v="2220.5"/>
        <n v="999.82"/>
        <n v="1552.83"/>
        <n v="4970.41"/>
        <n v="4365.59"/>
        <n v="4033.04"/>
        <n v="3417.46"/>
        <n v="4983.62"/>
        <n v="2973.13"/>
        <n v="4348.7"/>
        <n v="1507.38"/>
        <n v="1561.21"/>
        <n v="587.37"/>
        <n v="3319.45"/>
        <n v="948.17"/>
        <n v="1667.21"/>
        <n v="4283.72"/>
        <n v="4400.33"/>
        <n v="1847.72"/>
        <n v="4112.3500000000004"/>
        <n v="257.39"/>
        <n v="3185.06"/>
        <n v="2584.88"/>
        <n v="4368.46"/>
        <n v="2231.38"/>
        <n v="1937.63"/>
        <n v="2052.6"/>
        <n v="4050.04"/>
        <n v="4182.18"/>
        <n v="712.51"/>
        <n v="1197.5"/>
        <n v="4440.16"/>
        <n v="1912.82"/>
        <n v="1252.51"/>
        <n v="2792.76"/>
        <n v="3229.39"/>
        <n v="3110.5"/>
        <n v="3898"/>
        <n v="4599.0200000000004"/>
        <n v="985.73"/>
        <n v="3338.47"/>
        <n v="4725.9399999999996"/>
        <n v="3190.83"/>
        <n v="3244.96"/>
        <n v="261.52"/>
        <n v="1347.64"/>
        <n v="600.02"/>
        <n v="4879.3999999999996"/>
        <n v="4595.0200000000004"/>
        <n v="3757"/>
        <n v="2543.63"/>
        <n v="4233.1899999999996"/>
        <n v="4006.18"/>
        <n v="4736.0200000000004"/>
        <n v="3148.5"/>
        <n v="1055.92"/>
        <n v="899.27"/>
        <n v="1762.83"/>
        <n v="3650.17"/>
        <n v="643.85"/>
        <n v="230.4"/>
        <n v="1386.09"/>
        <n v="489.66"/>
        <n v="2396.33"/>
        <n v="3011.18"/>
        <n v="3435.42"/>
        <n v="2541.41"/>
        <n v="3372.5"/>
        <n v="2984.05"/>
        <n v="556.1"/>
        <n v="2269.71"/>
        <n v="4864.41"/>
        <n v="218.58"/>
        <n v="2617.75"/>
        <n v="1177.08"/>
        <n v="698.83"/>
        <n v="1558.53"/>
        <n v="1638.01"/>
        <n v="400.43"/>
        <n v="2942.23"/>
        <n v="2189.33"/>
        <n v="3724.66"/>
        <n v="2653.59"/>
        <n v="3717.12"/>
        <n v="4880.42"/>
        <n v="3323.17"/>
        <n v="4506.4799999999996"/>
        <n v="4477.1000000000004"/>
        <n v="467.72"/>
        <n v="3915.88"/>
        <n v="556.16999999999996"/>
        <n v="2769.02"/>
        <n v="543.97"/>
        <n v="1530.63"/>
        <n v="3398.54"/>
        <n v="4501.53"/>
        <n v="1914.58"/>
        <n v="3042.72"/>
        <n v="4358.26"/>
        <n v="1526.14"/>
        <n v="1910.66"/>
        <n v="3309.12"/>
        <n v="2963.81"/>
        <n v="4383.9399999999996"/>
        <n v="412.66"/>
        <n v="1599.72"/>
        <n v="1905.71"/>
        <n v="634.29999999999995"/>
        <n v="3862.75"/>
        <n v="2664.24"/>
        <n v="2669.93"/>
        <n v="4219.8999999999996"/>
        <n v="3517.64"/>
        <n v="2998.68"/>
        <n v="3269.22"/>
        <n v="2965.66"/>
        <n v="491.77"/>
        <n v="828.1"/>
        <n v="4530.6099999999997"/>
        <n v="3919.88"/>
        <n v="2131.7199999999998"/>
        <n v="3889.9"/>
        <n v="989.71"/>
        <n v="2620.25"/>
        <n v="2168.94"/>
        <n v="406.09"/>
        <n v="3902.83"/>
        <n v="929.42"/>
        <n v="245.01"/>
        <n v="1991.08"/>
        <n v="682.98"/>
        <n v="4003.37"/>
        <n v="3897.15"/>
        <n v="2241.75"/>
        <n v="1944.79"/>
        <n v="4607.2299999999996"/>
        <n v="3088.74"/>
        <n v="658.35"/>
        <n v="3433.33"/>
        <n v="690.29"/>
        <n v="2559.2399999999998"/>
        <n v="2067.52"/>
        <n v="4550.84"/>
        <n v="955.07"/>
        <n v="4517.1499999999996"/>
        <n v="2894.36"/>
        <n v="2006.12"/>
        <n v="4084.21"/>
        <n v="1178.05"/>
        <n v="2914.93"/>
        <n v="2066.38"/>
        <n v="4059.11"/>
        <n v="794.45"/>
        <n v="4908.79"/>
        <n v="2713"/>
        <n v="4237.18"/>
        <n v="948.4"/>
        <n v="2225.5700000000002"/>
        <n v="1640.27"/>
        <n v="885.67"/>
        <n v="272.13"/>
        <n v="442.08"/>
        <n v="294.38"/>
        <n v="4159.3999999999996"/>
        <n v="993.09"/>
        <n v="587.78"/>
        <n v="4189.1000000000004"/>
        <n v="307.08"/>
        <n v="4598.18"/>
        <n v="3898.29"/>
        <n v="3400.98"/>
        <n v="2818.73"/>
        <n v="3144.82"/>
        <n v="2206.09"/>
        <n v="3870.34"/>
        <n v="3983.63"/>
        <n v="698.07"/>
        <n v="406.76"/>
        <n v="3407.72"/>
        <n v="2329.9"/>
        <n v="3323.25"/>
        <n v="998.92"/>
        <n v="3119.41"/>
        <n v="4370.5"/>
        <n v="1978.9"/>
        <n v="1785.95"/>
        <n v="3399.88"/>
        <n v="4321.97"/>
        <n v="328.07"/>
        <n v="2076.1"/>
        <n v="361.17"/>
        <n v="4559.68"/>
        <n v="591.58000000000004"/>
        <n v="1472.68"/>
        <n v="1572.5"/>
        <n v="3194.41"/>
        <n v="4713.6899999999996"/>
        <n v="3113.5"/>
        <n v="1950.6"/>
        <n v="1014.77"/>
        <n v="4816.32"/>
        <n v="728.78"/>
        <n v="2932.65"/>
        <n v="3380.5"/>
        <n v="4955.3999999999996"/>
        <n v="4027.25"/>
        <n v="4071.68"/>
        <n v="4159.8999999999996"/>
        <n v="4873.16"/>
        <n v="536.77"/>
        <n v="784.51"/>
        <n v="3035.3"/>
        <n v="949.92"/>
        <n v="1455.76"/>
        <n v="420.68"/>
        <n v="2704.78"/>
        <n v="2135.63"/>
        <n v="3337.61"/>
        <n v="4052"/>
        <n v="1125.05"/>
        <n v="1264.31"/>
        <n v="1210.57"/>
        <n v="4563.0600000000004"/>
        <n v="618.41"/>
        <n v="256.29000000000002"/>
        <n v="3475.58"/>
        <n v="1866.17"/>
        <n v="1397.44"/>
        <n v="3395.98"/>
        <n v="1236.81"/>
        <n v="3082.25"/>
        <n v="1758.26"/>
        <n v="4287.3"/>
        <n v="627.11"/>
        <n v="2440.19"/>
        <n v="2391.08"/>
        <n v="3289.36"/>
        <n v="923.65"/>
        <n v="316.82"/>
        <n v="2633.31"/>
        <n v="2254.37"/>
        <n v="4558.3900000000003"/>
        <n v="3141.3"/>
        <n v="2340.09"/>
        <n v="4373.84"/>
        <n v="4737.58"/>
        <n v="2638.1"/>
        <n v="3570.09"/>
        <n v="3164.61"/>
        <n v="3480.88"/>
        <n v="4081.98"/>
        <n v="4528.3999999999996"/>
        <n v="3156.84"/>
        <n v="3454.94"/>
        <n v="1009.06"/>
        <n v="4028.44"/>
        <n v="3419.76"/>
        <n v="3513.75"/>
        <n v="3797.52"/>
        <n v="4128.04"/>
        <n v="1324.33"/>
        <n v="371.19"/>
        <n v="2491.12"/>
        <n v="4901.83"/>
        <n v="2089.4499999999998"/>
        <n v="3325.17"/>
        <n v="2280.1799999999998"/>
        <n v="4399.7299999999996"/>
        <n v="1494.91"/>
        <n v="1901.55"/>
        <n v="4169.43"/>
        <n v="2302.35"/>
        <n v="699.52"/>
        <n v="3483.04"/>
        <n v="810.35"/>
        <n v="335.52"/>
        <n v="935.37"/>
        <n v="3144.34"/>
        <n v="2018.41"/>
        <n v="431.7"/>
        <n v="2823.25"/>
        <n v="4843.3500000000004"/>
        <n v="2217.77"/>
        <n v="3221.22"/>
        <n v="1495.24"/>
        <n v="3396.48"/>
        <n v="2472.98"/>
        <n v="4811.18"/>
        <n v="2055.9"/>
        <n v="1343.28"/>
        <n v="2554.31"/>
        <n v="3818.06"/>
        <n v="1175.57"/>
        <n v="2968.16"/>
        <n v="2693.39"/>
        <n v="3241.49"/>
        <n v="3704.64"/>
        <n v="1526.8"/>
        <n v="4684.0600000000004"/>
        <n v="2613.36"/>
        <n v="4691.72"/>
        <n v="1053.2"/>
        <n v="1298.9000000000001"/>
        <n v="1983.54"/>
        <n v="938.98"/>
        <n v="3355.68"/>
        <n v="4687.33"/>
        <n v="3424.58"/>
        <n v="3726.92"/>
      </sharedItems>
    </cacheField>
    <cacheField name="Profit" numFmtId="0">
      <sharedItems containsSemiMixedTypes="0" containsString="0" containsNumber="1" minValue="15.33" maxValue="1694.37"/>
    </cacheField>
    <cacheField name="Quantity" numFmtId="0">
      <sharedItems containsSemiMixedTypes="0" containsString="0" containsNumber="1" containsInteger="1" minValue="1" maxValue="10"/>
    </cacheField>
    <cacheField name="Segment" numFmtId="0">
      <sharedItems count="3">
        <s v="Home Office"/>
        <s v="Consumer"/>
        <s v="Corporate"/>
      </sharedItems>
    </cacheField>
    <cacheField name="Salesperson" numFmtId="0">
      <sharedItems/>
    </cacheField>
  </cacheFields>
  <extLst>
    <ext xmlns:x14="http://schemas.microsoft.com/office/spreadsheetml/2009/9/main" uri="{725AE2AE-9491-48be-B2B4-4EB974FC3084}">
      <x14:pivotCacheDefinition pivotCacheId="506996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Haryana"/>
    <x v="0"/>
    <s v="Laptop"/>
    <x v="0"/>
    <x v="0"/>
    <n v="198.59"/>
    <n v="8"/>
    <x v="0"/>
    <s v="Neha"/>
  </r>
  <r>
    <x v="1"/>
    <x v="1"/>
    <x v="1"/>
    <s v="Tamil Nadu"/>
    <x v="1"/>
    <s v="Paper"/>
    <x v="1"/>
    <x v="1"/>
    <n v="757.23"/>
    <n v="4"/>
    <x v="1"/>
    <s v="Priya"/>
  </r>
  <r>
    <x v="2"/>
    <x v="2"/>
    <x v="0"/>
    <s v="Punjab"/>
    <x v="0"/>
    <s v="Mouse"/>
    <x v="2"/>
    <x v="2"/>
    <n v="461.75"/>
    <n v="1"/>
    <x v="2"/>
    <s v="Sneha"/>
  </r>
  <r>
    <x v="3"/>
    <x v="3"/>
    <x v="2"/>
    <s v="West Bengal"/>
    <x v="0"/>
    <s v="Mouse"/>
    <x v="3"/>
    <x v="3"/>
    <n v="1263.27"/>
    <n v="7"/>
    <x v="1"/>
    <s v="Neha"/>
  </r>
  <r>
    <x v="4"/>
    <x v="4"/>
    <x v="2"/>
    <s v="Odisha"/>
    <x v="0"/>
    <s v="Printer"/>
    <x v="4"/>
    <x v="4"/>
    <n v="687.9"/>
    <n v="5"/>
    <x v="0"/>
    <s v="Rohit"/>
  </r>
  <r>
    <x v="5"/>
    <x v="5"/>
    <x v="0"/>
    <s v="Haryana"/>
    <x v="0"/>
    <s v="Printer"/>
    <x v="5"/>
    <x v="5"/>
    <n v="344.36"/>
    <n v="10"/>
    <x v="1"/>
    <s v="Neha"/>
  </r>
  <r>
    <x v="6"/>
    <x v="6"/>
    <x v="3"/>
    <s v="Rajasthan"/>
    <x v="0"/>
    <s v="Mouse"/>
    <x v="6"/>
    <x v="6"/>
    <n v="321.54000000000002"/>
    <n v="9"/>
    <x v="0"/>
    <s v="Neha"/>
  </r>
  <r>
    <x v="7"/>
    <x v="3"/>
    <x v="2"/>
    <s v="Bihar"/>
    <x v="2"/>
    <s v="Table"/>
    <x v="7"/>
    <x v="7"/>
    <n v="161.97999999999999"/>
    <n v="10"/>
    <x v="0"/>
    <s v="Rahul"/>
  </r>
  <r>
    <x v="8"/>
    <x v="7"/>
    <x v="3"/>
    <s v="Gujarat"/>
    <x v="0"/>
    <s v="Mouse"/>
    <x v="8"/>
    <x v="8"/>
    <n v="434.2"/>
    <n v="8"/>
    <x v="1"/>
    <s v="Anjali"/>
  </r>
  <r>
    <x v="9"/>
    <x v="8"/>
    <x v="0"/>
    <s v="Punjab"/>
    <x v="2"/>
    <s v="Table"/>
    <x v="9"/>
    <x v="9"/>
    <n v="238.03"/>
    <n v="6"/>
    <x v="2"/>
    <s v="Amit"/>
  </r>
  <r>
    <x v="10"/>
    <x v="9"/>
    <x v="0"/>
    <s v="Punjab"/>
    <x v="0"/>
    <s v="Mouse"/>
    <x v="10"/>
    <x v="10"/>
    <n v="858.59"/>
    <n v="3"/>
    <x v="0"/>
    <s v="Neha"/>
  </r>
  <r>
    <x v="11"/>
    <x v="10"/>
    <x v="1"/>
    <s v="Telangana"/>
    <x v="2"/>
    <s v="Chair"/>
    <x v="11"/>
    <x v="11"/>
    <n v="556.03"/>
    <n v="2"/>
    <x v="1"/>
    <s v="Sneha"/>
  </r>
  <r>
    <x v="12"/>
    <x v="11"/>
    <x v="0"/>
    <s v="Haryana"/>
    <x v="1"/>
    <s v="Binder"/>
    <x v="12"/>
    <x v="12"/>
    <n v="777.33"/>
    <n v="8"/>
    <x v="1"/>
    <s v="Sneha"/>
  </r>
  <r>
    <x v="13"/>
    <x v="12"/>
    <x v="2"/>
    <s v="Bihar"/>
    <x v="0"/>
    <s v="Mouse"/>
    <x v="13"/>
    <x v="13"/>
    <n v="1137.58"/>
    <n v="7"/>
    <x v="2"/>
    <s v="Rohit"/>
  </r>
  <r>
    <x v="14"/>
    <x v="13"/>
    <x v="0"/>
    <s v="Punjab"/>
    <x v="2"/>
    <s v="Bookcase"/>
    <x v="14"/>
    <x v="14"/>
    <n v="187.13"/>
    <n v="4"/>
    <x v="2"/>
    <s v="Amit"/>
  </r>
  <r>
    <x v="15"/>
    <x v="14"/>
    <x v="2"/>
    <s v="Bihar"/>
    <x v="0"/>
    <s v="Printer"/>
    <x v="15"/>
    <x v="15"/>
    <n v="142.54"/>
    <n v="7"/>
    <x v="1"/>
    <s v="Karan"/>
  </r>
  <r>
    <x v="16"/>
    <x v="15"/>
    <x v="3"/>
    <s v="Gujarat"/>
    <x v="2"/>
    <s v="Table"/>
    <x v="16"/>
    <x v="16"/>
    <n v="678"/>
    <n v="10"/>
    <x v="2"/>
    <s v="Amit"/>
  </r>
  <r>
    <x v="17"/>
    <x v="16"/>
    <x v="0"/>
    <s v="Delhi"/>
    <x v="0"/>
    <s v="Mouse"/>
    <x v="17"/>
    <x v="17"/>
    <n v="199.29"/>
    <n v="1"/>
    <x v="1"/>
    <s v="Sneha"/>
  </r>
  <r>
    <x v="18"/>
    <x v="17"/>
    <x v="0"/>
    <s v="Haryana"/>
    <x v="2"/>
    <s v="Chair"/>
    <x v="18"/>
    <x v="18"/>
    <n v="636.79999999999995"/>
    <n v="2"/>
    <x v="1"/>
    <s v="Anjali"/>
  </r>
  <r>
    <x v="19"/>
    <x v="18"/>
    <x v="3"/>
    <s v="Rajasthan"/>
    <x v="1"/>
    <s v="Paper"/>
    <x v="19"/>
    <x v="19"/>
    <n v="820.07"/>
    <n v="10"/>
    <x v="2"/>
    <s v="Priya"/>
  </r>
  <r>
    <x v="20"/>
    <x v="19"/>
    <x v="3"/>
    <s v="Maharashtra"/>
    <x v="0"/>
    <s v="Laptop"/>
    <x v="20"/>
    <x v="20"/>
    <n v="1126.82"/>
    <n v="3"/>
    <x v="1"/>
    <s v="Rahul"/>
  </r>
  <r>
    <x v="21"/>
    <x v="20"/>
    <x v="2"/>
    <s v="Odisha"/>
    <x v="1"/>
    <s v="Pen"/>
    <x v="21"/>
    <x v="21"/>
    <n v="178.72"/>
    <n v="1"/>
    <x v="1"/>
    <s v="Neha"/>
  </r>
  <r>
    <x v="22"/>
    <x v="21"/>
    <x v="0"/>
    <s v="Punjab"/>
    <x v="0"/>
    <s v="Mouse"/>
    <x v="8"/>
    <x v="22"/>
    <n v="110.01"/>
    <n v="5"/>
    <x v="2"/>
    <s v="Priya"/>
  </r>
  <r>
    <x v="23"/>
    <x v="22"/>
    <x v="1"/>
    <s v="Telangana"/>
    <x v="2"/>
    <s v="Chair"/>
    <x v="22"/>
    <x v="23"/>
    <n v="97.86"/>
    <n v="8"/>
    <x v="2"/>
    <s v="Priya"/>
  </r>
  <r>
    <x v="24"/>
    <x v="23"/>
    <x v="3"/>
    <s v="Gujarat"/>
    <x v="1"/>
    <s v="Binder"/>
    <x v="23"/>
    <x v="24"/>
    <n v="765.03"/>
    <n v="4"/>
    <x v="1"/>
    <s v="Anjali"/>
  </r>
  <r>
    <x v="25"/>
    <x v="24"/>
    <x v="1"/>
    <s v="Telangana"/>
    <x v="1"/>
    <s v="Pen"/>
    <x v="24"/>
    <x v="25"/>
    <n v="518.94000000000005"/>
    <n v="8"/>
    <x v="0"/>
    <s v="Rohit"/>
  </r>
  <r>
    <x v="26"/>
    <x v="25"/>
    <x v="3"/>
    <s v="Rajasthan"/>
    <x v="0"/>
    <s v="Mouse"/>
    <x v="13"/>
    <x v="26"/>
    <n v="470.52"/>
    <n v="6"/>
    <x v="1"/>
    <s v="Karan"/>
  </r>
  <r>
    <x v="27"/>
    <x v="26"/>
    <x v="1"/>
    <s v="Telangana"/>
    <x v="1"/>
    <s v="Paper"/>
    <x v="25"/>
    <x v="27"/>
    <n v="625.26"/>
    <n v="10"/>
    <x v="1"/>
    <s v="Amit"/>
  </r>
  <r>
    <x v="28"/>
    <x v="27"/>
    <x v="0"/>
    <s v="Delhi"/>
    <x v="0"/>
    <s v="Mouse"/>
    <x v="26"/>
    <x v="28"/>
    <n v="1434.88"/>
    <n v="10"/>
    <x v="2"/>
    <s v="Amit"/>
  </r>
  <r>
    <x v="29"/>
    <x v="28"/>
    <x v="3"/>
    <s v="Rajasthan"/>
    <x v="1"/>
    <s v="Binder"/>
    <x v="27"/>
    <x v="29"/>
    <n v="278.07"/>
    <n v="8"/>
    <x v="2"/>
    <s v="Amit"/>
  </r>
  <r>
    <x v="30"/>
    <x v="29"/>
    <x v="3"/>
    <s v="Gujarat"/>
    <x v="1"/>
    <s v="Pen"/>
    <x v="28"/>
    <x v="30"/>
    <n v="945.57"/>
    <n v="4"/>
    <x v="0"/>
    <s v="Anjali"/>
  </r>
  <r>
    <x v="31"/>
    <x v="30"/>
    <x v="0"/>
    <s v="Punjab"/>
    <x v="2"/>
    <s v="Table"/>
    <x v="29"/>
    <x v="31"/>
    <n v="81.64"/>
    <n v="9"/>
    <x v="1"/>
    <s v="Priya"/>
  </r>
  <r>
    <x v="32"/>
    <x v="31"/>
    <x v="0"/>
    <s v="Punjab"/>
    <x v="2"/>
    <s v="Table"/>
    <x v="16"/>
    <x v="32"/>
    <n v="354.45"/>
    <n v="9"/>
    <x v="0"/>
    <s v="Amit"/>
  </r>
  <r>
    <x v="33"/>
    <x v="32"/>
    <x v="3"/>
    <s v="Gujarat"/>
    <x v="1"/>
    <s v="Binder"/>
    <x v="23"/>
    <x v="33"/>
    <n v="184.95"/>
    <n v="1"/>
    <x v="0"/>
    <s v="Rohit"/>
  </r>
  <r>
    <x v="34"/>
    <x v="33"/>
    <x v="0"/>
    <s v="Punjab"/>
    <x v="1"/>
    <s v="Binder"/>
    <x v="30"/>
    <x v="34"/>
    <n v="1168.45"/>
    <n v="10"/>
    <x v="1"/>
    <s v="Neha"/>
  </r>
  <r>
    <x v="35"/>
    <x v="34"/>
    <x v="0"/>
    <s v="Punjab"/>
    <x v="0"/>
    <s v="Laptop"/>
    <x v="31"/>
    <x v="35"/>
    <n v="109.58"/>
    <n v="9"/>
    <x v="2"/>
    <s v="Neha"/>
  </r>
  <r>
    <x v="36"/>
    <x v="35"/>
    <x v="2"/>
    <s v="Bihar"/>
    <x v="2"/>
    <s v="Table"/>
    <x v="32"/>
    <x v="36"/>
    <n v="134.07"/>
    <n v="8"/>
    <x v="1"/>
    <s v="Anjali"/>
  </r>
  <r>
    <x v="37"/>
    <x v="36"/>
    <x v="3"/>
    <s v="Gujarat"/>
    <x v="2"/>
    <s v="Table"/>
    <x v="33"/>
    <x v="37"/>
    <n v="304.08999999999997"/>
    <n v="5"/>
    <x v="0"/>
    <s v="Neha"/>
  </r>
  <r>
    <x v="38"/>
    <x v="37"/>
    <x v="0"/>
    <s v="Haryana"/>
    <x v="1"/>
    <s v="Paper"/>
    <x v="34"/>
    <x v="38"/>
    <n v="357.19"/>
    <n v="10"/>
    <x v="2"/>
    <s v="Karan"/>
  </r>
  <r>
    <x v="39"/>
    <x v="38"/>
    <x v="3"/>
    <s v="Rajasthan"/>
    <x v="0"/>
    <s v="Laptop"/>
    <x v="35"/>
    <x v="39"/>
    <n v="704.9"/>
    <n v="5"/>
    <x v="0"/>
    <s v="Anjali"/>
  </r>
  <r>
    <x v="40"/>
    <x v="39"/>
    <x v="2"/>
    <s v="Odisha"/>
    <x v="0"/>
    <s v="Printer"/>
    <x v="36"/>
    <x v="40"/>
    <n v="969.01"/>
    <n v="4"/>
    <x v="0"/>
    <s v="Amit"/>
  </r>
  <r>
    <x v="41"/>
    <x v="40"/>
    <x v="2"/>
    <s v="Bihar"/>
    <x v="1"/>
    <s v="Pen"/>
    <x v="37"/>
    <x v="41"/>
    <n v="322.38"/>
    <n v="10"/>
    <x v="2"/>
    <s v="Anjali"/>
  </r>
  <r>
    <x v="42"/>
    <x v="6"/>
    <x v="3"/>
    <s v="Maharashtra"/>
    <x v="1"/>
    <s v="Pen"/>
    <x v="37"/>
    <x v="42"/>
    <n v="524.61"/>
    <n v="4"/>
    <x v="0"/>
    <s v="Anjali"/>
  </r>
  <r>
    <x v="43"/>
    <x v="41"/>
    <x v="3"/>
    <s v="Gujarat"/>
    <x v="2"/>
    <s v="Bookcase"/>
    <x v="38"/>
    <x v="43"/>
    <n v="171.16"/>
    <n v="10"/>
    <x v="2"/>
    <s v="Rohit"/>
  </r>
  <r>
    <x v="44"/>
    <x v="42"/>
    <x v="1"/>
    <s v="Karnataka"/>
    <x v="0"/>
    <s v="Printer"/>
    <x v="36"/>
    <x v="44"/>
    <n v="762.54"/>
    <n v="8"/>
    <x v="2"/>
    <s v="Anjali"/>
  </r>
  <r>
    <x v="45"/>
    <x v="43"/>
    <x v="1"/>
    <s v="Telangana"/>
    <x v="0"/>
    <s v="Laptop"/>
    <x v="39"/>
    <x v="45"/>
    <n v="822.13"/>
    <n v="3"/>
    <x v="1"/>
    <s v="Amit"/>
  </r>
  <r>
    <x v="46"/>
    <x v="44"/>
    <x v="3"/>
    <s v="Gujarat"/>
    <x v="2"/>
    <s v="Chair"/>
    <x v="40"/>
    <x v="46"/>
    <n v="477.73"/>
    <n v="10"/>
    <x v="0"/>
    <s v="Priya"/>
  </r>
  <r>
    <x v="47"/>
    <x v="43"/>
    <x v="1"/>
    <s v="Karnataka"/>
    <x v="2"/>
    <s v="Table"/>
    <x v="41"/>
    <x v="47"/>
    <n v="150.6"/>
    <n v="7"/>
    <x v="0"/>
    <s v="Neha"/>
  </r>
  <r>
    <x v="48"/>
    <x v="10"/>
    <x v="3"/>
    <s v="Rajasthan"/>
    <x v="1"/>
    <s v="Pen"/>
    <x v="42"/>
    <x v="48"/>
    <n v="348.41"/>
    <n v="4"/>
    <x v="0"/>
    <s v="Anjali"/>
  </r>
  <r>
    <x v="49"/>
    <x v="45"/>
    <x v="3"/>
    <s v="Gujarat"/>
    <x v="0"/>
    <s v="Printer"/>
    <x v="43"/>
    <x v="49"/>
    <n v="569.57000000000005"/>
    <n v="5"/>
    <x v="0"/>
    <s v="Rahul"/>
  </r>
  <r>
    <x v="50"/>
    <x v="9"/>
    <x v="0"/>
    <s v="Punjab"/>
    <x v="0"/>
    <s v="Mouse"/>
    <x v="26"/>
    <x v="50"/>
    <n v="1139.48"/>
    <n v="7"/>
    <x v="0"/>
    <s v="Sneha"/>
  </r>
  <r>
    <x v="51"/>
    <x v="46"/>
    <x v="0"/>
    <s v="Delhi"/>
    <x v="1"/>
    <s v="Binder"/>
    <x v="44"/>
    <x v="51"/>
    <n v="737.32"/>
    <n v="7"/>
    <x v="2"/>
    <s v="Amit"/>
  </r>
  <r>
    <x v="52"/>
    <x v="47"/>
    <x v="1"/>
    <s v="Tamil Nadu"/>
    <x v="1"/>
    <s v="Paper"/>
    <x v="45"/>
    <x v="52"/>
    <n v="487.4"/>
    <n v="10"/>
    <x v="2"/>
    <s v="Anjali"/>
  </r>
  <r>
    <x v="53"/>
    <x v="48"/>
    <x v="0"/>
    <s v="Delhi"/>
    <x v="1"/>
    <s v="Pen"/>
    <x v="46"/>
    <x v="53"/>
    <n v="391.21"/>
    <n v="4"/>
    <x v="1"/>
    <s v="Priya"/>
  </r>
  <r>
    <x v="54"/>
    <x v="49"/>
    <x v="2"/>
    <s v="Bihar"/>
    <x v="1"/>
    <s v="Paper"/>
    <x v="47"/>
    <x v="54"/>
    <n v="235.72"/>
    <n v="3"/>
    <x v="0"/>
    <s v="Karan"/>
  </r>
  <r>
    <x v="55"/>
    <x v="50"/>
    <x v="1"/>
    <s v="Karnataka"/>
    <x v="0"/>
    <s v="Mouse"/>
    <x v="13"/>
    <x v="55"/>
    <n v="759.41"/>
    <n v="6"/>
    <x v="2"/>
    <s v="Rohit"/>
  </r>
  <r>
    <x v="56"/>
    <x v="29"/>
    <x v="3"/>
    <s v="Maharashtra"/>
    <x v="0"/>
    <s v="Laptop"/>
    <x v="48"/>
    <x v="56"/>
    <n v="130.59"/>
    <n v="5"/>
    <x v="1"/>
    <s v="Neha"/>
  </r>
  <r>
    <x v="57"/>
    <x v="51"/>
    <x v="3"/>
    <s v="Maharashtra"/>
    <x v="1"/>
    <s v="Paper"/>
    <x v="49"/>
    <x v="57"/>
    <n v="569.04999999999995"/>
    <n v="10"/>
    <x v="0"/>
    <s v="Karan"/>
  </r>
  <r>
    <x v="58"/>
    <x v="52"/>
    <x v="2"/>
    <s v="Odisha"/>
    <x v="2"/>
    <s v="Table"/>
    <x v="33"/>
    <x v="58"/>
    <n v="782.69"/>
    <n v="3"/>
    <x v="0"/>
    <s v="Amit"/>
  </r>
  <r>
    <x v="59"/>
    <x v="53"/>
    <x v="0"/>
    <s v="Delhi"/>
    <x v="1"/>
    <s v="Binder"/>
    <x v="50"/>
    <x v="59"/>
    <n v="465.74"/>
    <n v="1"/>
    <x v="1"/>
    <s v="Amit"/>
  </r>
  <r>
    <x v="60"/>
    <x v="23"/>
    <x v="3"/>
    <s v="Rajasthan"/>
    <x v="0"/>
    <s v="Printer"/>
    <x v="51"/>
    <x v="60"/>
    <n v="182.19"/>
    <n v="5"/>
    <x v="2"/>
    <s v="Rahul"/>
  </r>
  <r>
    <x v="61"/>
    <x v="54"/>
    <x v="0"/>
    <s v="Punjab"/>
    <x v="1"/>
    <s v="Pen"/>
    <x v="52"/>
    <x v="61"/>
    <n v="1023.34"/>
    <n v="3"/>
    <x v="1"/>
    <s v="Priya"/>
  </r>
  <r>
    <x v="62"/>
    <x v="55"/>
    <x v="3"/>
    <s v="Rajasthan"/>
    <x v="1"/>
    <s v="Binder"/>
    <x v="53"/>
    <x v="62"/>
    <n v="1176.27"/>
    <n v="10"/>
    <x v="0"/>
    <s v="Neha"/>
  </r>
  <r>
    <x v="63"/>
    <x v="56"/>
    <x v="2"/>
    <s v="Bihar"/>
    <x v="1"/>
    <s v="Paper"/>
    <x v="54"/>
    <x v="63"/>
    <n v="594.71"/>
    <n v="1"/>
    <x v="2"/>
    <s v="Rohit"/>
  </r>
  <r>
    <x v="64"/>
    <x v="57"/>
    <x v="0"/>
    <s v="Delhi"/>
    <x v="2"/>
    <s v="Bookcase"/>
    <x v="55"/>
    <x v="64"/>
    <n v="234.55"/>
    <n v="3"/>
    <x v="2"/>
    <s v="Rohit"/>
  </r>
  <r>
    <x v="65"/>
    <x v="58"/>
    <x v="3"/>
    <s v="Maharashtra"/>
    <x v="2"/>
    <s v="Chair"/>
    <x v="56"/>
    <x v="65"/>
    <n v="340.72"/>
    <n v="2"/>
    <x v="0"/>
    <s v="Karan"/>
  </r>
  <r>
    <x v="66"/>
    <x v="59"/>
    <x v="3"/>
    <s v="Rajasthan"/>
    <x v="0"/>
    <s v="Mouse"/>
    <x v="10"/>
    <x v="66"/>
    <n v="253.39"/>
    <n v="8"/>
    <x v="2"/>
    <s v="Rohit"/>
  </r>
  <r>
    <x v="67"/>
    <x v="34"/>
    <x v="0"/>
    <s v="Haryana"/>
    <x v="0"/>
    <s v="Printer"/>
    <x v="57"/>
    <x v="67"/>
    <n v="429.7"/>
    <n v="6"/>
    <x v="0"/>
    <s v="Sneha"/>
  </r>
  <r>
    <x v="68"/>
    <x v="60"/>
    <x v="3"/>
    <s v="Gujarat"/>
    <x v="2"/>
    <s v="Bookcase"/>
    <x v="55"/>
    <x v="68"/>
    <n v="41.13"/>
    <n v="9"/>
    <x v="1"/>
    <s v="Neha"/>
  </r>
  <r>
    <x v="69"/>
    <x v="61"/>
    <x v="3"/>
    <s v="Maharashtra"/>
    <x v="0"/>
    <s v="Laptop"/>
    <x v="58"/>
    <x v="69"/>
    <n v="838.39"/>
    <n v="8"/>
    <x v="0"/>
    <s v="Sneha"/>
  </r>
  <r>
    <x v="70"/>
    <x v="62"/>
    <x v="3"/>
    <s v="Rajasthan"/>
    <x v="0"/>
    <s v="Laptop"/>
    <x v="59"/>
    <x v="70"/>
    <n v="536.52"/>
    <n v="3"/>
    <x v="1"/>
    <s v="Karan"/>
  </r>
  <r>
    <x v="71"/>
    <x v="63"/>
    <x v="3"/>
    <s v="Rajasthan"/>
    <x v="1"/>
    <s v="Pen"/>
    <x v="60"/>
    <x v="71"/>
    <n v="1429.33"/>
    <n v="2"/>
    <x v="1"/>
    <s v="Neha"/>
  </r>
  <r>
    <x v="72"/>
    <x v="64"/>
    <x v="2"/>
    <s v="Odisha"/>
    <x v="2"/>
    <s v="Table"/>
    <x v="61"/>
    <x v="72"/>
    <n v="1100.43"/>
    <n v="2"/>
    <x v="1"/>
    <s v="Priya"/>
  </r>
  <r>
    <x v="73"/>
    <x v="65"/>
    <x v="3"/>
    <s v="Rajasthan"/>
    <x v="2"/>
    <s v="Bookcase"/>
    <x v="62"/>
    <x v="73"/>
    <n v="477.15"/>
    <n v="4"/>
    <x v="0"/>
    <s v="Karan"/>
  </r>
  <r>
    <x v="74"/>
    <x v="56"/>
    <x v="3"/>
    <s v="Gujarat"/>
    <x v="1"/>
    <s v="Binder"/>
    <x v="53"/>
    <x v="74"/>
    <n v="670.67"/>
    <n v="5"/>
    <x v="2"/>
    <s v="Neha"/>
  </r>
  <r>
    <x v="75"/>
    <x v="66"/>
    <x v="0"/>
    <s v="Delhi"/>
    <x v="1"/>
    <s v="Paper"/>
    <x v="63"/>
    <x v="75"/>
    <n v="271.26"/>
    <n v="9"/>
    <x v="0"/>
    <s v="Amit"/>
  </r>
  <r>
    <x v="76"/>
    <x v="67"/>
    <x v="3"/>
    <s v="Rajasthan"/>
    <x v="0"/>
    <s v="Laptop"/>
    <x v="39"/>
    <x v="76"/>
    <n v="110.91"/>
    <n v="9"/>
    <x v="1"/>
    <s v="Amit"/>
  </r>
  <r>
    <x v="77"/>
    <x v="68"/>
    <x v="1"/>
    <s v="Karnataka"/>
    <x v="2"/>
    <s v="Bookcase"/>
    <x v="64"/>
    <x v="77"/>
    <n v="319.08999999999997"/>
    <n v="2"/>
    <x v="1"/>
    <s v="Karan"/>
  </r>
  <r>
    <x v="78"/>
    <x v="54"/>
    <x v="2"/>
    <s v="West Bengal"/>
    <x v="1"/>
    <s v="Pen"/>
    <x v="65"/>
    <x v="78"/>
    <n v="1506.16"/>
    <n v="9"/>
    <x v="1"/>
    <s v="Anjali"/>
  </r>
  <r>
    <x v="79"/>
    <x v="69"/>
    <x v="3"/>
    <s v="Gujarat"/>
    <x v="0"/>
    <s v="Printer"/>
    <x v="66"/>
    <x v="79"/>
    <n v="867.89"/>
    <n v="3"/>
    <x v="2"/>
    <s v="Sneha"/>
  </r>
  <r>
    <x v="80"/>
    <x v="68"/>
    <x v="3"/>
    <s v="Gujarat"/>
    <x v="0"/>
    <s v="Laptop"/>
    <x v="67"/>
    <x v="80"/>
    <n v="1045.31"/>
    <n v="8"/>
    <x v="1"/>
    <s v="Karan"/>
  </r>
  <r>
    <x v="81"/>
    <x v="70"/>
    <x v="1"/>
    <s v="Tamil Nadu"/>
    <x v="2"/>
    <s v="Table"/>
    <x v="68"/>
    <x v="81"/>
    <n v="314.75"/>
    <n v="1"/>
    <x v="2"/>
    <s v="Sneha"/>
  </r>
  <r>
    <x v="82"/>
    <x v="71"/>
    <x v="2"/>
    <s v="Bihar"/>
    <x v="1"/>
    <s v="Pen"/>
    <x v="65"/>
    <x v="82"/>
    <n v="587.63"/>
    <n v="2"/>
    <x v="2"/>
    <s v="Rohit"/>
  </r>
  <r>
    <x v="83"/>
    <x v="72"/>
    <x v="0"/>
    <s v="Haryana"/>
    <x v="0"/>
    <s v="Laptop"/>
    <x v="69"/>
    <x v="83"/>
    <n v="57.5"/>
    <n v="3"/>
    <x v="0"/>
    <s v="Neha"/>
  </r>
  <r>
    <x v="84"/>
    <x v="73"/>
    <x v="0"/>
    <s v="Punjab"/>
    <x v="2"/>
    <s v="Chair"/>
    <x v="70"/>
    <x v="84"/>
    <n v="58.69"/>
    <n v="4"/>
    <x v="1"/>
    <s v="Priya"/>
  </r>
  <r>
    <x v="85"/>
    <x v="74"/>
    <x v="3"/>
    <s v="Gujarat"/>
    <x v="1"/>
    <s v="Binder"/>
    <x v="71"/>
    <x v="85"/>
    <n v="483.42"/>
    <n v="2"/>
    <x v="1"/>
    <s v="Rohit"/>
  </r>
  <r>
    <x v="86"/>
    <x v="75"/>
    <x v="1"/>
    <s v="Telangana"/>
    <x v="2"/>
    <s v="Bookcase"/>
    <x v="72"/>
    <x v="86"/>
    <n v="438.88"/>
    <n v="9"/>
    <x v="0"/>
    <s v="Rohit"/>
  </r>
  <r>
    <x v="87"/>
    <x v="74"/>
    <x v="3"/>
    <s v="Gujarat"/>
    <x v="1"/>
    <s v="Paper"/>
    <x v="73"/>
    <x v="87"/>
    <n v="1206.56"/>
    <n v="10"/>
    <x v="2"/>
    <s v="Karan"/>
  </r>
  <r>
    <x v="88"/>
    <x v="76"/>
    <x v="1"/>
    <s v="Karnataka"/>
    <x v="2"/>
    <s v="Bookcase"/>
    <x v="64"/>
    <x v="88"/>
    <n v="360.84"/>
    <n v="9"/>
    <x v="1"/>
    <s v="Rahul"/>
  </r>
  <r>
    <x v="89"/>
    <x v="4"/>
    <x v="1"/>
    <s v="Karnataka"/>
    <x v="0"/>
    <s v="Laptop"/>
    <x v="74"/>
    <x v="89"/>
    <n v="124.28"/>
    <n v="6"/>
    <x v="1"/>
    <s v="Anjali"/>
  </r>
  <r>
    <x v="90"/>
    <x v="77"/>
    <x v="3"/>
    <s v="Rajasthan"/>
    <x v="0"/>
    <s v="Printer"/>
    <x v="4"/>
    <x v="90"/>
    <n v="836.24"/>
    <n v="7"/>
    <x v="2"/>
    <s v="Amit"/>
  </r>
  <r>
    <x v="91"/>
    <x v="78"/>
    <x v="3"/>
    <s v="Maharashtra"/>
    <x v="1"/>
    <s v="Binder"/>
    <x v="75"/>
    <x v="91"/>
    <n v="1271.1300000000001"/>
    <n v="4"/>
    <x v="1"/>
    <s v="Karan"/>
  </r>
  <r>
    <x v="92"/>
    <x v="67"/>
    <x v="2"/>
    <s v="Bihar"/>
    <x v="2"/>
    <s v="Table"/>
    <x v="68"/>
    <x v="92"/>
    <n v="184.56"/>
    <n v="2"/>
    <x v="1"/>
    <s v="Sneha"/>
  </r>
  <r>
    <x v="93"/>
    <x v="79"/>
    <x v="1"/>
    <s v="Tamil Nadu"/>
    <x v="2"/>
    <s v="Table"/>
    <x v="76"/>
    <x v="93"/>
    <n v="592.26"/>
    <n v="1"/>
    <x v="2"/>
    <s v="Karan"/>
  </r>
  <r>
    <x v="94"/>
    <x v="3"/>
    <x v="3"/>
    <s v="Rajasthan"/>
    <x v="1"/>
    <s v="Pen"/>
    <x v="24"/>
    <x v="94"/>
    <n v="175.25"/>
    <n v="9"/>
    <x v="2"/>
    <s v="Karan"/>
  </r>
  <r>
    <x v="95"/>
    <x v="80"/>
    <x v="0"/>
    <s v="Haryana"/>
    <x v="2"/>
    <s v="Chair"/>
    <x v="77"/>
    <x v="95"/>
    <n v="642.45000000000005"/>
    <n v="9"/>
    <x v="0"/>
    <s v="Rahul"/>
  </r>
  <r>
    <x v="96"/>
    <x v="81"/>
    <x v="2"/>
    <s v="West Bengal"/>
    <x v="1"/>
    <s v="Pen"/>
    <x v="60"/>
    <x v="96"/>
    <n v="71.42"/>
    <n v="4"/>
    <x v="2"/>
    <s v="Sneha"/>
  </r>
  <r>
    <x v="97"/>
    <x v="82"/>
    <x v="2"/>
    <s v="Bihar"/>
    <x v="1"/>
    <s v="Paper"/>
    <x v="45"/>
    <x v="97"/>
    <n v="565.19000000000005"/>
    <n v="1"/>
    <x v="1"/>
    <s v="Priya"/>
  </r>
  <r>
    <x v="98"/>
    <x v="83"/>
    <x v="3"/>
    <s v="Rajasthan"/>
    <x v="0"/>
    <s v="Mouse"/>
    <x v="8"/>
    <x v="98"/>
    <n v="311.72000000000003"/>
    <n v="8"/>
    <x v="0"/>
    <s v="Rohit"/>
  </r>
  <r>
    <x v="99"/>
    <x v="84"/>
    <x v="0"/>
    <s v="Haryana"/>
    <x v="0"/>
    <s v="Laptop"/>
    <x v="48"/>
    <x v="99"/>
    <n v="261.51"/>
    <n v="2"/>
    <x v="0"/>
    <s v="Priya"/>
  </r>
  <r>
    <x v="100"/>
    <x v="20"/>
    <x v="3"/>
    <s v="Gujarat"/>
    <x v="0"/>
    <s v="Printer"/>
    <x v="51"/>
    <x v="100"/>
    <n v="760.37"/>
    <n v="9"/>
    <x v="1"/>
    <s v="Anjali"/>
  </r>
  <r>
    <x v="101"/>
    <x v="85"/>
    <x v="2"/>
    <s v="Bihar"/>
    <x v="2"/>
    <s v="Table"/>
    <x v="29"/>
    <x v="101"/>
    <n v="182.26"/>
    <n v="8"/>
    <x v="1"/>
    <s v="Anjali"/>
  </r>
  <r>
    <x v="102"/>
    <x v="86"/>
    <x v="0"/>
    <s v="Delhi"/>
    <x v="1"/>
    <s v="Paper"/>
    <x v="63"/>
    <x v="102"/>
    <n v="903.88"/>
    <n v="2"/>
    <x v="2"/>
    <s v="Amit"/>
  </r>
  <r>
    <x v="103"/>
    <x v="87"/>
    <x v="3"/>
    <s v="Rajasthan"/>
    <x v="0"/>
    <s v="Mouse"/>
    <x v="17"/>
    <x v="103"/>
    <n v="390.99"/>
    <n v="10"/>
    <x v="2"/>
    <s v="Sneha"/>
  </r>
  <r>
    <x v="104"/>
    <x v="88"/>
    <x v="0"/>
    <s v="Delhi"/>
    <x v="2"/>
    <s v="Table"/>
    <x v="33"/>
    <x v="104"/>
    <n v="500.62"/>
    <n v="2"/>
    <x v="2"/>
    <s v="Priya"/>
  </r>
  <r>
    <x v="105"/>
    <x v="89"/>
    <x v="3"/>
    <s v="Rajasthan"/>
    <x v="0"/>
    <s v="Printer"/>
    <x v="15"/>
    <x v="105"/>
    <n v="622.76"/>
    <n v="3"/>
    <x v="0"/>
    <s v="Sneha"/>
  </r>
  <r>
    <x v="106"/>
    <x v="90"/>
    <x v="3"/>
    <s v="Rajasthan"/>
    <x v="0"/>
    <s v="Mouse"/>
    <x v="78"/>
    <x v="106"/>
    <n v="931.53"/>
    <n v="6"/>
    <x v="1"/>
    <s v="Amit"/>
  </r>
  <r>
    <x v="107"/>
    <x v="91"/>
    <x v="1"/>
    <s v="Telangana"/>
    <x v="1"/>
    <s v="Binder"/>
    <x v="53"/>
    <x v="107"/>
    <n v="186.71"/>
    <n v="4"/>
    <x v="0"/>
    <s v="Amit"/>
  </r>
  <r>
    <x v="108"/>
    <x v="47"/>
    <x v="0"/>
    <s v="Haryana"/>
    <x v="2"/>
    <s v="Chair"/>
    <x v="79"/>
    <x v="108"/>
    <n v="482.86"/>
    <n v="4"/>
    <x v="2"/>
    <s v="Anjali"/>
  </r>
  <r>
    <x v="109"/>
    <x v="60"/>
    <x v="1"/>
    <s v="Karnataka"/>
    <x v="2"/>
    <s v="Table"/>
    <x v="16"/>
    <x v="109"/>
    <n v="1197.19"/>
    <n v="10"/>
    <x v="2"/>
    <s v="Priya"/>
  </r>
  <r>
    <x v="110"/>
    <x v="92"/>
    <x v="0"/>
    <s v="Delhi"/>
    <x v="2"/>
    <s v="Chair"/>
    <x v="80"/>
    <x v="110"/>
    <n v="523.05999999999995"/>
    <n v="2"/>
    <x v="2"/>
    <s v="Neha"/>
  </r>
  <r>
    <x v="111"/>
    <x v="87"/>
    <x v="1"/>
    <s v="Tamil Nadu"/>
    <x v="2"/>
    <s v="Chair"/>
    <x v="81"/>
    <x v="111"/>
    <n v="810.13"/>
    <n v="1"/>
    <x v="1"/>
    <s v="Amit"/>
  </r>
  <r>
    <x v="112"/>
    <x v="45"/>
    <x v="0"/>
    <s v="Punjab"/>
    <x v="0"/>
    <s v="Printer"/>
    <x v="82"/>
    <x v="112"/>
    <n v="496.93"/>
    <n v="6"/>
    <x v="0"/>
    <s v="Karan"/>
  </r>
  <r>
    <x v="113"/>
    <x v="93"/>
    <x v="3"/>
    <s v="Maharashtra"/>
    <x v="1"/>
    <s v="Binder"/>
    <x v="71"/>
    <x v="113"/>
    <n v="314.83999999999997"/>
    <n v="1"/>
    <x v="2"/>
    <s v="Rahul"/>
  </r>
  <r>
    <x v="114"/>
    <x v="94"/>
    <x v="3"/>
    <s v="Gujarat"/>
    <x v="0"/>
    <s v="Printer"/>
    <x v="83"/>
    <x v="114"/>
    <n v="244.58"/>
    <n v="6"/>
    <x v="0"/>
    <s v="Sneha"/>
  </r>
  <r>
    <x v="115"/>
    <x v="95"/>
    <x v="0"/>
    <s v="Delhi"/>
    <x v="2"/>
    <s v="Bookcase"/>
    <x v="84"/>
    <x v="115"/>
    <n v="279.05"/>
    <n v="7"/>
    <x v="1"/>
    <s v="Rohit"/>
  </r>
  <r>
    <x v="116"/>
    <x v="96"/>
    <x v="0"/>
    <s v="Haryana"/>
    <x v="1"/>
    <s v="Binder"/>
    <x v="85"/>
    <x v="116"/>
    <n v="229.66"/>
    <n v="10"/>
    <x v="2"/>
    <s v="Anjali"/>
  </r>
  <r>
    <x v="117"/>
    <x v="97"/>
    <x v="0"/>
    <s v="Punjab"/>
    <x v="0"/>
    <s v="Printer"/>
    <x v="57"/>
    <x v="117"/>
    <n v="713.89"/>
    <n v="8"/>
    <x v="0"/>
    <s v="Priya"/>
  </r>
  <r>
    <x v="118"/>
    <x v="98"/>
    <x v="3"/>
    <s v="Gujarat"/>
    <x v="2"/>
    <s v="Bookcase"/>
    <x v="86"/>
    <x v="118"/>
    <n v="454.86"/>
    <n v="2"/>
    <x v="0"/>
    <s v="Rahul"/>
  </r>
  <r>
    <x v="119"/>
    <x v="99"/>
    <x v="2"/>
    <s v="West Bengal"/>
    <x v="0"/>
    <s v="Printer"/>
    <x v="87"/>
    <x v="119"/>
    <n v="980.23"/>
    <n v="10"/>
    <x v="1"/>
    <s v="Sneha"/>
  </r>
  <r>
    <x v="120"/>
    <x v="100"/>
    <x v="1"/>
    <s v="Karnataka"/>
    <x v="0"/>
    <s v="Laptop"/>
    <x v="59"/>
    <x v="120"/>
    <n v="213.17"/>
    <n v="7"/>
    <x v="0"/>
    <s v="Priya"/>
  </r>
  <r>
    <x v="121"/>
    <x v="101"/>
    <x v="3"/>
    <s v="Maharashtra"/>
    <x v="0"/>
    <s v="Printer"/>
    <x v="36"/>
    <x v="121"/>
    <n v="553.28"/>
    <n v="6"/>
    <x v="2"/>
    <s v="Karan"/>
  </r>
  <r>
    <x v="122"/>
    <x v="102"/>
    <x v="0"/>
    <s v="Delhi"/>
    <x v="1"/>
    <s v="Pen"/>
    <x v="88"/>
    <x v="122"/>
    <n v="824.73"/>
    <n v="3"/>
    <x v="1"/>
    <s v="Karan"/>
  </r>
  <r>
    <x v="123"/>
    <x v="103"/>
    <x v="1"/>
    <s v="Telangana"/>
    <x v="0"/>
    <s v="Mouse"/>
    <x v="78"/>
    <x v="123"/>
    <n v="1299.07"/>
    <n v="2"/>
    <x v="0"/>
    <s v="Sneha"/>
  </r>
  <r>
    <x v="124"/>
    <x v="104"/>
    <x v="1"/>
    <s v="Tamil Nadu"/>
    <x v="1"/>
    <s v="Paper"/>
    <x v="89"/>
    <x v="124"/>
    <n v="223.26"/>
    <n v="4"/>
    <x v="2"/>
    <s v="Karan"/>
  </r>
  <r>
    <x v="125"/>
    <x v="105"/>
    <x v="0"/>
    <s v="Haryana"/>
    <x v="2"/>
    <s v="Bookcase"/>
    <x v="90"/>
    <x v="125"/>
    <n v="685.57"/>
    <n v="1"/>
    <x v="2"/>
    <s v="Karan"/>
  </r>
  <r>
    <x v="126"/>
    <x v="106"/>
    <x v="0"/>
    <s v="Punjab"/>
    <x v="0"/>
    <s v="Laptop"/>
    <x v="91"/>
    <x v="126"/>
    <n v="1076.1300000000001"/>
    <n v="4"/>
    <x v="2"/>
    <s v="Priya"/>
  </r>
  <r>
    <x v="127"/>
    <x v="107"/>
    <x v="2"/>
    <s v="West Bengal"/>
    <x v="0"/>
    <s v="Mouse"/>
    <x v="92"/>
    <x v="127"/>
    <n v="1427.87"/>
    <n v="5"/>
    <x v="0"/>
    <s v="Amit"/>
  </r>
  <r>
    <x v="128"/>
    <x v="108"/>
    <x v="1"/>
    <s v="Karnataka"/>
    <x v="2"/>
    <s v="Chair"/>
    <x v="77"/>
    <x v="128"/>
    <n v="1502.87"/>
    <n v="4"/>
    <x v="0"/>
    <s v="Neha"/>
  </r>
  <r>
    <x v="129"/>
    <x v="49"/>
    <x v="2"/>
    <s v="Odisha"/>
    <x v="2"/>
    <s v="Bookcase"/>
    <x v="84"/>
    <x v="129"/>
    <n v="326.33999999999997"/>
    <n v="10"/>
    <x v="0"/>
    <s v="Sneha"/>
  </r>
  <r>
    <x v="130"/>
    <x v="109"/>
    <x v="1"/>
    <s v="Karnataka"/>
    <x v="2"/>
    <s v="Table"/>
    <x v="68"/>
    <x v="130"/>
    <n v="260.01"/>
    <n v="4"/>
    <x v="2"/>
    <s v="Anjali"/>
  </r>
  <r>
    <x v="131"/>
    <x v="110"/>
    <x v="0"/>
    <s v="Haryana"/>
    <x v="1"/>
    <s v="Paper"/>
    <x v="25"/>
    <x v="131"/>
    <n v="253.23"/>
    <n v="7"/>
    <x v="0"/>
    <s v="Rahul"/>
  </r>
  <r>
    <x v="132"/>
    <x v="111"/>
    <x v="2"/>
    <s v="West Bengal"/>
    <x v="2"/>
    <s v="Bookcase"/>
    <x v="93"/>
    <x v="132"/>
    <n v="307.92"/>
    <n v="3"/>
    <x v="1"/>
    <s v="Karan"/>
  </r>
  <r>
    <x v="133"/>
    <x v="112"/>
    <x v="0"/>
    <s v="Punjab"/>
    <x v="2"/>
    <s v="Table"/>
    <x v="94"/>
    <x v="133"/>
    <n v="445.17"/>
    <n v="2"/>
    <x v="1"/>
    <s v="Rohit"/>
  </r>
  <r>
    <x v="134"/>
    <x v="96"/>
    <x v="2"/>
    <s v="Odisha"/>
    <x v="1"/>
    <s v="Paper"/>
    <x v="95"/>
    <x v="134"/>
    <n v="275.08999999999997"/>
    <n v="4"/>
    <x v="0"/>
    <s v="Priya"/>
  </r>
  <r>
    <x v="135"/>
    <x v="113"/>
    <x v="2"/>
    <s v="Odisha"/>
    <x v="2"/>
    <s v="Chair"/>
    <x v="77"/>
    <x v="135"/>
    <n v="264.44"/>
    <n v="10"/>
    <x v="1"/>
    <s v="Amit"/>
  </r>
  <r>
    <x v="136"/>
    <x v="114"/>
    <x v="3"/>
    <s v="Gujarat"/>
    <x v="0"/>
    <s v="Laptop"/>
    <x v="96"/>
    <x v="136"/>
    <n v="206.53"/>
    <n v="1"/>
    <x v="2"/>
    <s v="Rohit"/>
  </r>
  <r>
    <x v="137"/>
    <x v="115"/>
    <x v="2"/>
    <s v="West Bengal"/>
    <x v="0"/>
    <s v="Mouse"/>
    <x v="78"/>
    <x v="137"/>
    <n v="1190.58"/>
    <n v="10"/>
    <x v="2"/>
    <s v="Rahul"/>
  </r>
  <r>
    <x v="138"/>
    <x v="116"/>
    <x v="2"/>
    <s v="West Bengal"/>
    <x v="2"/>
    <s v="Bookcase"/>
    <x v="38"/>
    <x v="138"/>
    <n v="263.27"/>
    <n v="3"/>
    <x v="1"/>
    <s v="Sneha"/>
  </r>
  <r>
    <x v="139"/>
    <x v="49"/>
    <x v="3"/>
    <s v="Rajasthan"/>
    <x v="0"/>
    <s v="Mouse"/>
    <x v="8"/>
    <x v="139"/>
    <n v="751.16"/>
    <n v="1"/>
    <x v="2"/>
    <s v="Rahul"/>
  </r>
  <r>
    <x v="140"/>
    <x v="55"/>
    <x v="3"/>
    <s v="Maharashtra"/>
    <x v="2"/>
    <s v="Table"/>
    <x v="97"/>
    <x v="140"/>
    <n v="420.22"/>
    <n v="4"/>
    <x v="0"/>
    <s v="Priya"/>
  </r>
  <r>
    <x v="141"/>
    <x v="117"/>
    <x v="0"/>
    <s v="Haryana"/>
    <x v="2"/>
    <s v="Table"/>
    <x v="98"/>
    <x v="141"/>
    <n v="271.89999999999998"/>
    <n v="6"/>
    <x v="0"/>
    <s v="Amit"/>
  </r>
  <r>
    <x v="142"/>
    <x v="79"/>
    <x v="1"/>
    <s v="Telangana"/>
    <x v="1"/>
    <s v="Paper"/>
    <x v="54"/>
    <x v="142"/>
    <n v="317.61"/>
    <n v="7"/>
    <x v="0"/>
    <s v="Priya"/>
  </r>
  <r>
    <x v="143"/>
    <x v="118"/>
    <x v="3"/>
    <s v="Maharashtra"/>
    <x v="2"/>
    <s v="Bookcase"/>
    <x v="99"/>
    <x v="143"/>
    <n v="772.13"/>
    <n v="9"/>
    <x v="0"/>
    <s v="Sneha"/>
  </r>
  <r>
    <x v="144"/>
    <x v="40"/>
    <x v="2"/>
    <s v="Bihar"/>
    <x v="0"/>
    <s v="Printer"/>
    <x v="83"/>
    <x v="144"/>
    <n v="310.11"/>
    <n v="4"/>
    <x v="1"/>
    <s v="Priya"/>
  </r>
  <r>
    <x v="145"/>
    <x v="58"/>
    <x v="0"/>
    <s v="Punjab"/>
    <x v="0"/>
    <s v="Mouse"/>
    <x v="100"/>
    <x v="145"/>
    <n v="555.16"/>
    <n v="6"/>
    <x v="2"/>
    <s v="Amit"/>
  </r>
  <r>
    <x v="146"/>
    <x v="119"/>
    <x v="2"/>
    <s v="West Bengal"/>
    <x v="1"/>
    <s v="Paper"/>
    <x v="101"/>
    <x v="146"/>
    <n v="55.44"/>
    <n v="4"/>
    <x v="1"/>
    <s v="Sneha"/>
  </r>
  <r>
    <x v="147"/>
    <x v="120"/>
    <x v="2"/>
    <s v="Odisha"/>
    <x v="2"/>
    <s v="Bookcase"/>
    <x v="99"/>
    <x v="147"/>
    <n v="415.84"/>
    <n v="9"/>
    <x v="2"/>
    <s v="Karan"/>
  </r>
  <r>
    <x v="148"/>
    <x v="121"/>
    <x v="3"/>
    <s v="Maharashtra"/>
    <x v="2"/>
    <s v="Bookcase"/>
    <x v="102"/>
    <x v="148"/>
    <n v="435.07"/>
    <n v="2"/>
    <x v="1"/>
    <s v="Rahul"/>
  </r>
  <r>
    <x v="149"/>
    <x v="122"/>
    <x v="1"/>
    <s v="Telangana"/>
    <x v="1"/>
    <s v="Binder"/>
    <x v="12"/>
    <x v="149"/>
    <n v="998.98"/>
    <n v="5"/>
    <x v="0"/>
    <s v="Neha"/>
  </r>
  <r>
    <x v="150"/>
    <x v="123"/>
    <x v="3"/>
    <s v="Gujarat"/>
    <x v="2"/>
    <s v="Bookcase"/>
    <x v="103"/>
    <x v="150"/>
    <n v="602.73"/>
    <n v="4"/>
    <x v="2"/>
    <s v="Karan"/>
  </r>
  <r>
    <x v="151"/>
    <x v="124"/>
    <x v="3"/>
    <s v="Gujarat"/>
    <x v="2"/>
    <s v="Table"/>
    <x v="97"/>
    <x v="151"/>
    <n v="911.83"/>
    <n v="5"/>
    <x v="2"/>
    <s v="Sneha"/>
  </r>
  <r>
    <x v="152"/>
    <x v="125"/>
    <x v="1"/>
    <s v="Tamil Nadu"/>
    <x v="0"/>
    <s v="Mouse"/>
    <x v="92"/>
    <x v="152"/>
    <n v="395.99"/>
    <n v="3"/>
    <x v="1"/>
    <s v="Priya"/>
  </r>
  <r>
    <x v="153"/>
    <x v="126"/>
    <x v="2"/>
    <s v="West Bengal"/>
    <x v="0"/>
    <s v="Printer"/>
    <x v="87"/>
    <x v="153"/>
    <n v="243.75"/>
    <n v="2"/>
    <x v="1"/>
    <s v="Sneha"/>
  </r>
  <r>
    <x v="154"/>
    <x v="127"/>
    <x v="1"/>
    <s v="Tamil Nadu"/>
    <x v="0"/>
    <s v="Mouse"/>
    <x v="8"/>
    <x v="154"/>
    <n v="1198.67"/>
    <n v="6"/>
    <x v="0"/>
    <s v="Amit"/>
  </r>
  <r>
    <x v="155"/>
    <x v="128"/>
    <x v="0"/>
    <s v="Haryana"/>
    <x v="0"/>
    <s v="Laptop"/>
    <x v="0"/>
    <x v="155"/>
    <n v="648.29"/>
    <n v="4"/>
    <x v="2"/>
    <s v="Amit"/>
  </r>
  <r>
    <x v="156"/>
    <x v="129"/>
    <x v="2"/>
    <s v="Odisha"/>
    <x v="1"/>
    <s v="Binder"/>
    <x v="53"/>
    <x v="156"/>
    <n v="464.13"/>
    <n v="7"/>
    <x v="0"/>
    <s v="Sneha"/>
  </r>
  <r>
    <x v="157"/>
    <x v="43"/>
    <x v="2"/>
    <s v="Odisha"/>
    <x v="1"/>
    <s v="Pen"/>
    <x v="104"/>
    <x v="157"/>
    <n v="332.48"/>
    <n v="2"/>
    <x v="1"/>
    <s v="Amit"/>
  </r>
  <r>
    <x v="158"/>
    <x v="130"/>
    <x v="3"/>
    <s v="Maharashtra"/>
    <x v="2"/>
    <s v="Table"/>
    <x v="68"/>
    <x v="158"/>
    <n v="67.83"/>
    <n v="9"/>
    <x v="2"/>
    <s v="Karan"/>
  </r>
  <r>
    <x v="159"/>
    <x v="131"/>
    <x v="2"/>
    <s v="West Bengal"/>
    <x v="2"/>
    <s v="Table"/>
    <x v="105"/>
    <x v="159"/>
    <n v="210.38"/>
    <n v="4"/>
    <x v="2"/>
    <s v="Amit"/>
  </r>
  <r>
    <x v="160"/>
    <x v="132"/>
    <x v="2"/>
    <s v="Odisha"/>
    <x v="1"/>
    <s v="Paper"/>
    <x v="106"/>
    <x v="160"/>
    <n v="61.68"/>
    <n v="9"/>
    <x v="1"/>
    <s v="Rohit"/>
  </r>
  <r>
    <x v="161"/>
    <x v="133"/>
    <x v="0"/>
    <s v="Delhi"/>
    <x v="2"/>
    <s v="Bookcase"/>
    <x v="107"/>
    <x v="161"/>
    <n v="659.93"/>
    <n v="1"/>
    <x v="0"/>
    <s v="Anjali"/>
  </r>
  <r>
    <x v="162"/>
    <x v="122"/>
    <x v="3"/>
    <s v="Rajasthan"/>
    <x v="0"/>
    <s v="Mouse"/>
    <x v="108"/>
    <x v="162"/>
    <n v="312.11"/>
    <n v="7"/>
    <x v="2"/>
    <s v="Amit"/>
  </r>
  <r>
    <x v="163"/>
    <x v="134"/>
    <x v="1"/>
    <s v="Karnataka"/>
    <x v="2"/>
    <s v="Bookcase"/>
    <x v="109"/>
    <x v="163"/>
    <n v="586"/>
    <n v="3"/>
    <x v="0"/>
    <s v="Rahul"/>
  </r>
  <r>
    <x v="164"/>
    <x v="88"/>
    <x v="3"/>
    <s v="Maharashtra"/>
    <x v="0"/>
    <s v="Printer"/>
    <x v="36"/>
    <x v="164"/>
    <n v="816.72"/>
    <n v="2"/>
    <x v="2"/>
    <s v="Amit"/>
  </r>
  <r>
    <x v="165"/>
    <x v="36"/>
    <x v="0"/>
    <s v="Delhi"/>
    <x v="0"/>
    <s v="Laptop"/>
    <x v="110"/>
    <x v="165"/>
    <n v="352.53"/>
    <n v="9"/>
    <x v="2"/>
    <s v="Sneha"/>
  </r>
  <r>
    <x v="166"/>
    <x v="135"/>
    <x v="3"/>
    <s v="Maharashtra"/>
    <x v="1"/>
    <s v="Paper"/>
    <x v="111"/>
    <x v="166"/>
    <n v="483.1"/>
    <n v="3"/>
    <x v="2"/>
    <s v="Sneha"/>
  </r>
  <r>
    <x v="167"/>
    <x v="136"/>
    <x v="3"/>
    <s v="Gujarat"/>
    <x v="2"/>
    <s v="Bookcase"/>
    <x v="64"/>
    <x v="167"/>
    <n v="304.74"/>
    <n v="7"/>
    <x v="0"/>
    <s v="Karan"/>
  </r>
  <r>
    <x v="168"/>
    <x v="137"/>
    <x v="1"/>
    <s v="Tamil Nadu"/>
    <x v="2"/>
    <s v="Bookcase"/>
    <x v="38"/>
    <x v="168"/>
    <n v="109.14"/>
    <n v="10"/>
    <x v="2"/>
    <s v="Neha"/>
  </r>
  <r>
    <x v="169"/>
    <x v="138"/>
    <x v="3"/>
    <s v="Rajasthan"/>
    <x v="1"/>
    <s v="Pen"/>
    <x v="112"/>
    <x v="169"/>
    <n v="90.08"/>
    <n v="5"/>
    <x v="1"/>
    <s v="Priya"/>
  </r>
  <r>
    <x v="170"/>
    <x v="98"/>
    <x v="3"/>
    <s v="Gujarat"/>
    <x v="0"/>
    <s v="Mouse"/>
    <x v="113"/>
    <x v="170"/>
    <n v="528.77"/>
    <n v="1"/>
    <x v="1"/>
    <s v="Karan"/>
  </r>
  <r>
    <x v="171"/>
    <x v="134"/>
    <x v="1"/>
    <s v="Tamil Nadu"/>
    <x v="2"/>
    <s v="Chair"/>
    <x v="81"/>
    <x v="171"/>
    <n v="138.11000000000001"/>
    <n v="6"/>
    <x v="0"/>
    <s v="Rohit"/>
  </r>
  <r>
    <x v="172"/>
    <x v="93"/>
    <x v="1"/>
    <s v="Tamil Nadu"/>
    <x v="0"/>
    <s v="Printer"/>
    <x v="57"/>
    <x v="172"/>
    <n v="820.07"/>
    <n v="1"/>
    <x v="0"/>
    <s v="Rohit"/>
  </r>
  <r>
    <x v="173"/>
    <x v="139"/>
    <x v="2"/>
    <s v="Odisha"/>
    <x v="0"/>
    <s v="Mouse"/>
    <x v="6"/>
    <x v="173"/>
    <n v="687.14"/>
    <n v="3"/>
    <x v="1"/>
    <s v="Sneha"/>
  </r>
  <r>
    <x v="174"/>
    <x v="140"/>
    <x v="1"/>
    <s v="Telangana"/>
    <x v="0"/>
    <s v="Mouse"/>
    <x v="114"/>
    <x v="174"/>
    <n v="495.32"/>
    <n v="9"/>
    <x v="1"/>
    <s v="Sneha"/>
  </r>
  <r>
    <x v="175"/>
    <x v="9"/>
    <x v="3"/>
    <s v="Gujarat"/>
    <x v="1"/>
    <s v="Paper"/>
    <x v="25"/>
    <x v="175"/>
    <n v="487.15"/>
    <n v="8"/>
    <x v="0"/>
    <s v="Rohit"/>
  </r>
  <r>
    <x v="176"/>
    <x v="141"/>
    <x v="1"/>
    <s v="Tamil Nadu"/>
    <x v="2"/>
    <s v="Chair"/>
    <x v="115"/>
    <x v="176"/>
    <n v="1100.6400000000001"/>
    <n v="8"/>
    <x v="1"/>
    <s v="Rahul"/>
  </r>
  <r>
    <x v="177"/>
    <x v="142"/>
    <x v="1"/>
    <s v="Tamil Nadu"/>
    <x v="0"/>
    <s v="Printer"/>
    <x v="82"/>
    <x v="177"/>
    <n v="956.96"/>
    <n v="9"/>
    <x v="2"/>
    <s v="Rahul"/>
  </r>
  <r>
    <x v="178"/>
    <x v="37"/>
    <x v="2"/>
    <s v="Odisha"/>
    <x v="1"/>
    <s v="Paper"/>
    <x v="101"/>
    <x v="178"/>
    <n v="318.02999999999997"/>
    <n v="6"/>
    <x v="2"/>
    <s v="Anjali"/>
  </r>
  <r>
    <x v="179"/>
    <x v="99"/>
    <x v="2"/>
    <s v="West Bengal"/>
    <x v="0"/>
    <s v="Printer"/>
    <x v="116"/>
    <x v="179"/>
    <n v="244.18"/>
    <n v="2"/>
    <x v="1"/>
    <s v="Rahul"/>
  </r>
  <r>
    <x v="180"/>
    <x v="143"/>
    <x v="2"/>
    <s v="West Bengal"/>
    <x v="1"/>
    <s v="Binder"/>
    <x v="117"/>
    <x v="180"/>
    <n v="106.91"/>
    <n v="2"/>
    <x v="2"/>
    <s v="Neha"/>
  </r>
  <r>
    <x v="181"/>
    <x v="117"/>
    <x v="1"/>
    <s v="Telangana"/>
    <x v="2"/>
    <s v="Chair"/>
    <x v="118"/>
    <x v="181"/>
    <n v="95.91"/>
    <n v="6"/>
    <x v="1"/>
    <s v="Priya"/>
  </r>
  <r>
    <x v="182"/>
    <x v="58"/>
    <x v="3"/>
    <s v="Rajasthan"/>
    <x v="1"/>
    <s v="Paper"/>
    <x v="49"/>
    <x v="182"/>
    <n v="791.99"/>
    <n v="2"/>
    <x v="0"/>
    <s v="Karan"/>
  </r>
  <r>
    <x v="183"/>
    <x v="144"/>
    <x v="1"/>
    <s v="Telangana"/>
    <x v="1"/>
    <s v="Binder"/>
    <x v="30"/>
    <x v="183"/>
    <n v="145.44"/>
    <n v="9"/>
    <x v="2"/>
    <s v="Anjali"/>
  </r>
  <r>
    <x v="184"/>
    <x v="145"/>
    <x v="3"/>
    <s v="Gujarat"/>
    <x v="1"/>
    <s v="Binder"/>
    <x v="119"/>
    <x v="184"/>
    <n v="109.45"/>
    <n v="2"/>
    <x v="1"/>
    <s v="Anjali"/>
  </r>
  <r>
    <x v="185"/>
    <x v="129"/>
    <x v="1"/>
    <s v="Karnataka"/>
    <x v="1"/>
    <s v="Pen"/>
    <x v="37"/>
    <x v="185"/>
    <n v="513.97"/>
    <n v="9"/>
    <x v="1"/>
    <s v="Anjali"/>
  </r>
  <r>
    <x v="186"/>
    <x v="146"/>
    <x v="1"/>
    <s v="Tamil Nadu"/>
    <x v="2"/>
    <s v="Bookcase"/>
    <x v="72"/>
    <x v="186"/>
    <n v="567.44000000000005"/>
    <n v="6"/>
    <x v="2"/>
    <s v="Karan"/>
  </r>
  <r>
    <x v="187"/>
    <x v="147"/>
    <x v="0"/>
    <s v="Delhi"/>
    <x v="1"/>
    <s v="Pen"/>
    <x v="28"/>
    <x v="187"/>
    <n v="357.14"/>
    <n v="5"/>
    <x v="1"/>
    <s v="Amit"/>
  </r>
  <r>
    <x v="188"/>
    <x v="142"/>
    <x v="3"/>
    <s v="Maharashtra"/>
    <x v="2"/>
    <s v="Bookcase"/>
    <x v="14"/>
    <x v="188"/>
    <n v="699.09"/>
    <n v="9"/>
    <x v="0"/>
    <s v="Rohit"/>
  </r>
  <r>
    <x v="189"/>
    <x v="148"/>
    <x v="0"/>
    <s v="Haryana"/>
    <x v="1"/>
    <s v="Paper"/>
    <x v="95"/>
    <x v="189"/>
    <n v="1220.1199999999999"/>
    <n v="9"/>
    <x v="1"/>
    <s v="Anjali"/>
  </r>
  <r>
    <x v="190"/>
    <x v="149"/>
    <x v="3"/>
    <s v="Rajasthan"/>
    <x v="2"/>
    <s v="Chair"/>
    <x v="120"/>
    <x v="190"/>
    <n v="427.49"/>
    <n v="1"/>
    <x v="2"/>
    <s v="Sneha"/>
  </r>
  <r>
    <x v="191"/>
    <x v="150"/>
    <x v="2"/>
    <s v="West Bengal"/>
    <x v="2"/>
    <s v="Chair"/>
    <x v="80"/>
    <x v="191"/>
    <n v="175.34"/>
    <n v="9"/>
    <x v="1"/>
    <s v="Rahul"/>
  </r>
  <r>
    <x v="192"/>
    <x v="5"/>
    <x v="1"/>
    <s v="Tamil Nadu"/>
    <x v="1"/>
    <s v="Binder"/>
    <x v="121"/>
    <x v="192"/>
    <n v="793.54"/>
    <n v="7"/>
    <x v="0"/>
    <s v="Anjali"/>
  </r>
  <r>
    <x v="193"/>
    <x v="116"/>
    <x v="3"/>
    <s v="Maharashtra"/>
    <x v="2"/>
    <s v="Bookcase"/>
    <x v="86"/>
    <x v="193"/>
    <n v="164.58"/>
    <n v="1"/>
    <x v="1"/>
    <s v="Anjali"/>
  </r>
  <r>
    <x v="194"/>
    <x v="74"/>
    <x v="3"/>
    <s v="Maharashtra"/>
    <x v="2"/>
    <s v="Bookcase"/>
    <x v="64"/>
    <x v="194"/>
    <n v="75.739999999999995"/>
    <n v="4"/>
    <x v="1"/>
    <s v="Amit"/>
  </r>
  <r>
    <x v="195"/>
    <x v="151"/>
    <x v="3"/>
    <s v="Maharashtra"/>
    <x v="0"/>
    <s v="Printer"/>
    <x v="82"/>
    <x v="195"/>
    <n v="226.88"/>
    <n v="3"/>
    <x v="0"/>
    <s v="Karan"/>
  </r>
  <r>
    <x v="196"/>
    <x v="152"/>
    <x v="3"/>
    <s v="Gujarat"/>
    <x v="0"/>
    <s v="Mouse"/>
    <x v="114"/>
    <x v="196"/>
    <n v="24.73"/>
    <n v="8"/>
    <x v="2"/>
    <s v="Karan"/>
  </r>
  <r>
    <x v="197"/>
    <x v="0"/>
    <x v="2"/>
    <s v="Odisha"/>
    <x v="2"/>
    <s v="Table"/>
    <x v="105"/>
    <x v="197"/>
    <n v="535.62"/>
    <n v="7"/>
    <x v="0"/>
    <s v="Rahul"/>
  </r>
  <r>
    <x v="198"/>
    <x v="91"/>
    <x v="2"/>
    <s v="Bihar"/>
    <x v="1"/>
    <s v="Binder"/>
    <x v="119"/>
    <x v="198"/>
    <n v="424.35"/>
    <n v="6"/>
    <x v="0"/>
    <s v="Neha"/>
  </r>
  <r>
    <x v="199"/>
    <x v="112"/>
    <x v="1"/>
    <s v="Telangana"/>
    <x v="2"/>
    <s v="Bookcase"/>
    <x v="122"/>
    <x v="199"/>
    <n v="108.63"/>
    <n v="10"/>
    <x v="0"/>
    <s v="Rohit"/>
  </r>
  <r>
    <x v="200"/>
    <x v="153"/>
    <x v="3"/>
    <s v="Rajasthan"/>
    <x v="1"/>
    <s v="Binder"/>
    <x v="23"/>
    <x v="200"/>
    <n v="285.49"/>
    <n v="7"/>
    <x v="0"/>
    <s v="Sneha"/>
  </r>
  <r>
    <x v="201"/>
    <x v="154"/>
    <x v="0"/>
    <s v="Delhi"/>
    <x v="1"/>
    <s v="Pen"/>
    <x v="46"/>
    <x v="201"/>
    <n v="450.31"/>
    <n v="5"/>
    <x v="2"/>
    <s v="Sneha"/>
  </r>
  <r>
    <x v="202"/>
    <x v="155"/>
    <x v="2"/>
    <s v="Odisha"/>
    <x v="2"/>
    <s v="Chair"/>
    <x v="120"/>
    <x v="202"/>
    <n v="237.24"/>
    <n v="9"/>
    <x v="0"/>
    <s v="Neha"/>
  </r>
  <r>
    <x v="203"/>
    <x v="92"/>
    <x v="0"/>
    <s v="Delhi"/>
    <x v="1"/>
    <s v="Paper"/>
    <x v="49"/>
    <x v="203"/>
    <n v="489.17"/>
    <n v="8"/>
    <x v="1"/>
    <s v="Priya"/>
  </r>
  <r>
    <x v="204"/>
    <x v="156"/>
    <x v="0"/>
    <s v="Punjab"/>
    <x v="0"/>
    <s v="Mouse"/>
    <x v="123"/>
    <x v="204"/>
    <n v="149.84"/>
    <n v="4"/>
    <x v="2"/>
    <s v="Rohit"/>
  </r>
  <r>
    <x v="205"/>
    <x v="149"/>
    <x v="1"/>
    <s v="Karnataka"/>
    <x v="2"/>
    <s v="Chair"/>
    <x v="118"/>
    <x v="205"/>
    <n v="861.38"/>
    <n v="6"/>
    <x v="1"/>
    <s v="Anjali"/>
  </r>
  <r>
    <x v="206"/>
    <x v="157"/>
    <x v="1"/>
    <s v="Telangana"/>
    <x v="0"/>
    <s v="Printer"/>
    <x v="51"/>
    <x v="206"/>
    <n v="207.25"/>
    <n v="5"/>
    <x v="1"/>
    <s v="Anjali"/>
  </r>
  <r>
    <x v="207"/>
    <x v="12"/>
    <x v="2"/>
    <s v="Odisha"/>
    <x v="0"/>
    <s v="Printer"/>
    <x v="43"/>
    <x v="207"/>
    <n v="825.49"/>
    <n v="9"/>
    <x v="0"/>
    <s v="Rahul"/>
  </r>
  <r>
    <x v="208"/>
    <x v="158"/>
    <x v="0"/>
    <s v="Delhi"/>
    <x v="1"/>
    <s v="Paper"/>
    <x v="95"/>
    <x v="208"/>
    <n v="1351.46"/>
    <n v="4"/>
    <x v="2"/>
    <s v="Karan"/>
  </r>
  <r>
    <x v="209"/>
    <x v="74"/>
    <x v="1"/>
    <s v="Tamil Nadu"/>
    <x v="2"/>
    <s v="Table"/>
    <x v="124"/>
    <x v="209"/>
    <n v="272.12"/>
    <n v="1"/>
    <x v="1"/>
    <s v="Karan"/>
  </r>
  <r>
    <x v="210"/>
    <x v="5"/>
    <x v="3"/>
    <s v="Gujarat"/>
    <x v="2"/>
    <s v="Bookcase"/>
    <x v="122"/>
    <x v="210"/>
    <n v="441.67"/>
    <n v="10"/>
    <x v="1"/>
    <s v="Karan"/>
  </r>
  <r>
    <x v="211"/>
    <x v="159"/>
    <x v="2"/>
    <s v="Odisha"/>
    <x v="2"/>
    <s v="Table"/>
    <x v="105"/>
    <x v="211"/>
    <n v="759.46"/>
    <n v="5"/>
    <x v="1"/>
    <s v="Neha"/>
  </r>
  <r>
    <x v="212"/>
    <x v="148"/>
    <x v="2"/>
    <s v="Bihar"/>
    <x v="0"/>
    <s v="Printer"/>
    <x v="116"/>
    <x v="212"/>
    <n v="171.36"/>
    <n v="1"/>
    <x v="2"/>
    <s v="Rahul"/>
  </r>
  <r>
    <x v="213"/>
    <x v="54"/>
    <x v="0"/>
    <s v="Haryana"/>
    <x v="1"/>
    <s v="Binder"/>
    <x v="85"/>
    <x v="213"/>
    <n v="175.2"/>
    <n v="6"/>
    <x v="2"/>
    <s v="Anjali"/>
  </r>
  <r>
    <x v="214"/>
    <x v="57"/>
    <x v="0"/>
    <s v="Delhi"/>
    <x v="2"/>
    <s v="Table"/>
    <x v="68"/>
    <x v="214"/>
    <n v="704.76"/>
    <n v="1"/>
    <x v="2"/>
    <s v="Neha"/>
  </r>
  <r>
    <x v="215"/>
    <x v="148"/>
    <x v="3"/>
    <s v="Rajasthan"/>
    <x v="0"/>
    <s v="Laptop"/>
    <x v="91"/>
    <x v="215"/>
    <n v="337"/>
    <n v="9"/>
    <x v="1"/>
    <s v="Priya"/>
  </r>
  <r>
    <x v="216"/>
    <x v="160"/>
    <x v="1"/>
    <s v="Telangana"/>
    <x v="0"/>
    <s v="Laptop"/>
    <x v="110"/>
    <x v="216"/>
    <n v="481.85"/>
    <n v="4"/>
    <x v="1"/>
    <s v="Sneha"/>
  </r>
  <r>
    <x v="217"/>
    <x v="3"/>
    <x v="2"/>
    <s v="West Bengal"/>
    <x v="1"/>
    <s v="Paper"/>
    <x v="54"/>
    <x v="217"/>
    <n v="207.6"/>
    <n v="8"/>
    <x v="0"/>
    <s v="Rahul"/>
  </r>
  <r>
    <x v="218"/>
    <x v="161"/>
    <x v="3"/>
    <s v="Gujarat"/>
    <x v="1"/>
    <s v="Binder"/>
    <x v="71"/>
    <x v="218"/>
    <n v="521.15"/>
    <n v="2"/>
    <x v="0"/>
    <s v="Anjali"/>
  </r>
  <r>
    <x v="219"/>
    <x v="162"/>
    <x v="0"/>
    <s v="Haryana"/>
    <x v="2"/>
    <s v="Chair"/>
    <x v="125"/>
    <x v="219"/>
    <n v="305.49"/>
    <n v="8"/>
    <x v="2"/>
    <s v="Anjali"/>
  </r>
  <r>
    <x v="220"/>
    <x v="163"/>
    <x v="1"/>
    <s v="Karnataka"/>
    <x v="0"/>
    <s v="Printer"/>
    <x v="4"/>
    <x v="220"/>
    <n v="303.19"/>
    <n v="4"/>
    <x v="0"/>
    <s v="Rahul"/>
  </r>
  <r>
    <x v="221"/>
    <x v="164"/>
    <x v="0"/>
    <s v="Haryana"/>
    <x v="0"/>
    <s v="Printer"/>
    <x v="126"/>
    <x v="221"/>
    <n v="58.84"/>
    <n v="4"/>
    <x v="1"/>
    <s v="Karan"/>
  </r>
  <r>
    <x v="222"/>
    <x v="165"/>
    <x v="0"/>
    <s v="Delhi"/>
    <x v="1"/>
    <s v="Binder"/>
    <x v="119"/>
    <x v="222"/>
    <n v="895.14"/>
    <n v="2"/>
    <x v="2"/>
    <s v="Amit"/>
  </r>
  <r>
    <x v="223"/>
    <x v="28"/>
    <x v="0"/>
    <s v="Haryana"/>
    <x v="0"/>
    <s v="Laptop"/>
    <x v="127"/>
    <x v="223"/>
    <n v="468.34"/>
    <n v="5"/>
    <x v="2"/>
    <s v="Neha"/>
  </r>
  <r>
    <x v="224"/>
    <x v="135"/>
    <x v="0"/>
    <s v="Haryana"/>
    <x v="1"/>
    <s v="Paper"/>
    <x v="128"/>
    <x v="224"/>
    <n v="1160.51"/>
    <n v="8"/>
    <x v="0"/>
    <s v="Rohit"/>
  </r>
  <r>
    <x v="225"/>
    <x v="28"/>
    <x v="0"/>
    <s v="Punjab"/>
    <x v="0"/>
    <s v="Laptop"/>
    <x v="59"/>
    <x v="225"/>
    <n v="811.66"/>
    <n v="5"/>
    <x v="2"/>
    <s v="Neha"/>
  </r>
  <r>
    <x v="226"/>
    <x v="147"/>
    <x v="1"/>
    <s v="Tamil Nadu"/>
    <x v="0"/>
    <s v="Mouse"/>
    <x v="92"/>
    <x v="226"/>
    <n v="174.65"/>
    <n v="10"/>
    <x v="2"/>
    <s v="Anjali"/>
  </r>
  <r>
    <x v="227"/>
    <x v="139"/>
    <x v="1"/>
    <s v="Karnataka"/>
    <x v="2"/>
    <s v="Table"/>
    <x v="41"/>
    <x v="227"/>
    <n v="389.77"/>
    <n v="4"/>
    <x v="2"/>
    <s v="Anjali"/>
  </r>
  <r>
    <x v="228"/>
    <x v="166"/>
    <x v="1"/>
    <s v="Karnataka"/>
    <x v="2"/>
    <s v="Bookcase"/>
    <x v="93"/>
    <x v="228"/>
    <n v="309.54000000000002"/>
    <n v="8"/>
    <x v="0"/>
    <s v="Sneha"/>
  </r>
  <r>
    <x v="229"/>
    <x v="167"/>
    <x v="3"/>
    <s v="Rajasthan"/>
    <x v="2"/>
    <s v="Chair"/>
    <x v="18"/>
    <x v="229"/>
    <n v="254.66"/>
    <n v="10"/>
    <x v="1"/>
    <s v="Rahul"/>
  </r>
  <r>
    <x v="230"/>
    <x v="127"/>
    <x v="1"/>
    <s v="Telangana"/>
    <x v="1"/>
    <s v="Paper"/>
    <x v="45"/>
    <x v="230"/>
    <n v="235.15"/>
    <n v="7"/>
    <x v="1"/>
    <s v="Amit"/>
  </r>
  <r>
    <x v="231"/>
    <x v="168"/>
    <x v="3"/>
    <s v="Gujarat"/>
    <x v="1"/>
    <s v="Pen"/>
    <x v="129"/>
    <x v="231"/>
    <n v="279.58"/>
    <n v="10"/>
    <x v="1"/>
    <s v="Amit"/>
  </r>
  <r>
    <x v="232"/>
    <x v="169"/>
    <x v="0"/>
    <s v="Delhi"/>
    <x v="2"/>
    <s v="Chair"/>
    <x v="118"/>
    <x v="232"/>
    <n v="992.73"/>
    <n v="1"/>
    <x v="2"/>
    <s v="Sneha"/>
  </r>
  <r>
    <x v="233"/>
    <x v="170"/>
    <x v="3"/>
    <s v="Maharashtra"/>
    <x v="2"/>
    <s v="Chair"/>
    <x v="18"/>
    <x v="233"/>
    <n v="1235.32"/>
    <n v="10"/>
    <x v="1"/>
    <s v="Rahul"/>
  </r>
  <r>
    <x v="234"/>
    <x v="171"/>
    <x v="1"/>
    <s v="Karnataka"/>
    <x v="1"/>
    <s v="Binder"/>
    <x v="130"/>
    <x v="234"/>
    <n v="682.42"/>
    <n v="10"/>
    <x v="1"/>
    <s v="Neha"/>
  </r>
  <r>
    <x v="235"/>
    <x v="0"/>
    <x v="2"/>
    <s v="Bihar"/>
    <x v="2"/>
    <s v="Bookcase"/>
    <x v="14"/>
    <x v="235"/>
    <n v="206.85"/>
    <n v="8"/>
    <x v="0"/>
    <s v="Amit"/>
  </r>
  <r>
    <x v="236"/>
    <x v="172"/>
    <x v="0"/>
    <s v="Haryana"/>
    <x v="2"/>
    <s v="Table"/>
    <x v="7"/>
    <x v="236"/>
    <n v="300.41000000000003"/>
    <n v="5"/>
    <x v="2"/>
    <s v="Rohit"/>
  </r>
  <r>
    <x v="237"/>
    <x v="173"/>
    <x v="2"/>
    <s v="Bihar"/>
    <x v="2"/>
    <s v="Chair"/>
    <x v="120"/>
    <x v="237"/>
    <n v="783.79"/>
    <n v="1"/>
    <x v="1"/>
    <s v="Neha"/>
  </r>
  <r>
    <x v="238"/>
    <x v="174"/>
    <x v="1"/>
    <s v="Telangana"/>
    <x v="1"/>
    <s v="Pen"/>
    <x v="46"/>
    <x v="238"/>
    <n v="421.29"/>
    <n v="4"/>
    <x v="1"/>
    <s v="Sneha"/>
  </r>
  <r>
    <x v="239"/>
    <x v="175"/>
    <x v="3"/>
    <s v="Maharashtra"/>
    <x v="2"/>
    <s v="Table"/>
    <x v="131"/>
    <x v="239"/>
    <n v="379.06"/>
    <n v="4"/>
    <x v="1"/>
    <s v="Rohit"/>
  </r>
  <r>
    <x v="240"/>
    <x v="118"/>
    <x v="3"/>
    <s v="Rajasthan"/>
    <x v="1"/>
    <s v="Paper"/>
    <x v="25"/>
    <x v="240"/>
    <n v="1183.24"/>
    <n v="4"/>
    <x v="2"/>
    <s v="Rahul"/>
  </r>
  <r>
    <x v="241"/>
    <x v="176"/>
    <x v="2"/>
    <s v="Odisha"/>
    <x v="1"/>
    <s v="Binder"/>
    <x v="50"/>
    <x v="241"/>
    <n v="593.54999999999995"/>
    <n v="6"/>
    <x v="0"/>
    <s v="Neha"/>
  </r>
  <r>
    <x v="242"/>
    <x v="177"/>
    <x v="2"/>
    <s v="West Bengal"/>
    <x v="0"/>
    <s v="Printer"/>
    <x v="87"/>
    <x v="242"/>
    <n v="252.11"/>
    <n v="2"/>
    <x v="1"/>
    <s v="Anjali"/>
  </r>
  <r>
    <x v="243"/>
    <x v="150"/>
    <x v="3"/>
    <s v="Rajasthan"/>
    <x v="1"/>
    <s v="Binder"/>
    <x v="121"/>
    <x v="243"/>
    <n v="308.29000000000002"/>
    <n v="3"/>
    <x v="2"/>
    <s v="Amit"/>
  </r>
  <r>
    <x v="244"/>
    <x v="77"/>
    <x v="2"/>
    <s v="West Bengal"/>
    <x v="2"/>
    <s v="Table"/>
    <x v="9"/>
    <x v="244"/>
    <n v="437.69"/>
    <n v="3"/>
    <x v="0"/>
    <s v="Neha"/>
  </r>
  <r>
    <x v="245"/>
    <x v="87"/>
    <x v="0"/>
    <s v="Delhi"/>
    <x v="0"/>
    <s v="Mouse"/>
    <x v="3"/>
    <x v="245"/>
    <n v="229.46"/>
    <n v="7"/>
    <x v="0"/>
    <s v="Rohit"/>
  </r>
  <r>
    <x v="246"/>
    <x v="54"/>
    <x v="0"/>
    <s v="Delhi"/>
    <x v="2"/>
    <s v="Table"/>
    <x v="29"/>
    <x v="246"/>
    <n v="633.29"/>
    <n v="6"/>
    <x v="0"/>
    <s v="Karan"/>
  </r>
  <r>
    <x v="247"/>
    <x v="178"/>
    <x v="0"/>
    <s v="Punjab"/>
    <x v="2"/>
    <s v="Bookcase"/>
    <x v="99"/>
    <x v="247"/>
    <n v="1290.96"/>
    <n v="1"/>
    <x v="2"/>
    <s v="Neha"/>
  </r>
  <r>
    <x v="248"/>
    <x v="179"/>
    <x v="3"/>
    <s v="Gujarat"/>
    <x v="2"/>
    <s v="Chair"/>
    <x v="118"/>
    <x v="248"/>
    <n v="983.91"/>
    <n v="6"/>
    <x v="2"/>
    <s v="Amit"/>
  </r>
  <r>
    <x v="249"/>
    <x v="168"/>
    <x v="0"/>
    <s v="Delhi"/>
    <x v="1"/>
    <s v="Paper"/>
    <x v="128"/>
    <x v="249"/>
    <n v="422.5"/>
    <n v="2"/>
    <x v="0"/>
    <s v="Anjali"/>
  </r>
  <r>
    <x v="250"/>
    <x v="67"/>
    <x v="3"/>
    <s v="Gujarat"/>
    <x v="2"/>
    <s v="Chair"/>
    <x v="22"/>
    <x v="250"/>
    <n v="128.41999999999999"/>
    <n v="2"/>
    <x v="0"/>
    <s v="Rahul"/>
  </r>
  <r>
    <x v="251"/>
    <x v="180"/>
    <x v="3"/>
    <s v="Maharashtra"/>
    <x v="0"/>
    <s v="Printer"/>
    <x v="36"/>
    <x v="251"/>
    <n v="130.16"/>
    <n v="2"/>
    <x v="1"/>
    <s v="Priya"/>
  </r>
  <r>
    <x v="252"/>
    <x v="181"/>
    <x v="2"/>
    <s v="West Bengal"/>
    <x v="0"/>
    <s v="Laptop"/>
    <x v="96"/>
    <x v="252"/>
    <n v="125.76"/>
    <n v="8"/>
    <x v="2"/>
    <s v="Rohit"/>
  </r>
  <r>
    <x v="253"/>
    <x v="76"/>
    <x v="2"/>
    <s v="West Bengal"/>
    <x v="2"/>
    <s v="Bookcase"/>
    <x v="14"/>
    <x v="253"/>
    <n v="70.72"/>
    <n v="10"/>
    <x v="1"/>
    <s v="Amit"/>
  </r>
  <r>
    <x v="254"/>
    <x v="182"/>
    <x v="0"/>
    <s v="Haryana"/>
    <x v="0"/>
    <s v="Mouse"/>
    <x v="26"/>
    <x v="254"/>
    <n v="379.94"/>
    <n v="4"/>
    <x v="0"/>
    <s v="Rohit"/>
  </r>
  <r>
    <x v="255"/>
    <x v="55"/>
    <x v="0"/>
    <s v="Haryana"/>
    <x v="1"/>
    <s v="Pen"/>
    <x v="60"/>
    <x v="255"/>
    <n v="24.52"/>
    <n v="9"/>
    <x v="1"/>
    <s v="Neha"/>
  </r>
  <r>
    <x v="256"/>
    <x v="111"/>
    <x v="2"/>
    <s v="Odisha"/>
    <x v="1"/>
    <s v="Binder"/>
    <x v="44"/>
    <x v="256"/>
    <n v="87.32"/>
    <n v="4"/>
    <x v="0"/>
    <s v="Anjali"/>
  </r>
  <r>
    <x v="257"/>
    <x v="95"/>
    <x v="2"/>
    <s v="West Bengal"/>
    <x v="1"/>
    <s v="Pen"/>
    <x v="132"/>
    <x v="257"/>
    <n v="321.89"/>
    <n v="5"/>
    <x v="0"/>
    <s v="Rohit"/>
  </r>
  <r>
    <x v="258"/>
    <x v="64"/>
    <x v="3"/>
    <s v="Maharashtra"/>
    <x v="1"/>
    <s v="Paper"/>
    <x v="49"/>
    <x v="258"/>
    <n v="229.71"/>
    <n v="9"/>
    <x v="1"/>
    <s v="Rohit"/>
  </r>
  <r>
    <x v="259"/>
    <x v="63"/>
    <x v="2"/>
    <s v="Bihar"/>
    <x v="2"/>
    <s v="Table"/>
    <x v="68"/>
    <x v="259"/>
    <n v="615.65"/>
    <n v="10"/>
    <x v="0"/>
    <s v="Neha"/>
  </r>
  <r>
    <x v="260"/>
    <x v="73"/>
    <x v="3"/>
    <s v="Maharashtra"/>
    <x v="0"/>
    <s v="Laptop"/>
    <x v="74"/>
    <x v="260"/>
    <n v="240.41"/>
    <n v="3"/>
    <x v="1"/>
    <s v="Amit"/>
  </r>
  <r>
    <x v="261"/>
    <x v="161"/>
    <x v="0"/>
    <s v="Haryana"/>
    <x v="1"/>
    <s v="Pen"/>
    <x v="133"/>
    <x v="261"/>
    <n v="885.25"/>
    <n v="7"/>
    <x v="1"/>
    <s v="Karan"/>
  </r>
  <r>
    <x v="262"/>
    <x v="183"/>
    <x v="3"/>
    <s v="Gujarat"/>
    <x v="0"/>
    <s v="Laptop"/>
    <x v="48"/>
    <x v="262"/>
    <n v="732"/>
    <n v="8"/>
    <x v="1"/>
    <s v="Rohit"/>
  </r>
  <r>
    <x v="263"/>
    <x v="184"/>
    <x v="2"/>
    <s v="Odisha"/>
    <x v="0"/>
    <s v="Laptop"/>
    <x v="134"/>
    <x v="263"/>
    <n v="609.54"/>
    <n v="7"/>
    <x v="1"/>
    <s v="Neha"/>
  </r>
  <r>
    <x v="264"/>
    <x v="185"/>
    <x v="2"/>
    <s v="Odisha"/>
    <x v="2"/>
    <s v="Bookcase"/>
    <x v="62"/>
    <x v="264"/>
    <n v="987.8"/>
    <n v="8"/>
    <x v="0"/>
    <s v="Karan"/>
  </r>
  <r>
    <x v="265"/>
    <x v="186"/>
    <x v="1"/>
    <s v="Karnataka"/>
    <x v="2"/>
    <s v="Table"/>
    <x v="9"/>
    <x v="265"/>
    <n v="895.76"/>
    <n v="10"/>
    <x v="1"/>
    <s v="Rohit"/>
  </r>
  <r>
    <x v="266"/>
    <x v="0"/>
    <x v="2"/>
    <s v="West Bengal"/>
    <x v="2"/>
    <s v="Table"/>
    <x v="29"/>
    <x v="266"/>
    <n v="553"/>
    <n v="3"/>
    <x v="0"/>
    <s v="Amit"/>
  </r>
  <r>
    <x v="267"/>
    <x v="73"/>
    <x v="2"/>
    <s v="Odisha"/>
    <x v="0"/>
    <s v="Mouse"/>
    <x v="3"/>
    <x v="267"/>
    <n v="55.03"/>
    <n v="5"/>
    <x v="2"/>
    <s v="Neha"/>
  </r>
  <r>
    <x v="268"/>
    <x v="187"/>
    <x v="2"/>
    <s v="Bihar"/>
    <x v="2"/>
    <s v="Table"/>
    <x v="76"/>
    <x v="268"/>
    <n v="295.2"/>
    <n v="10"/>
    <x v="0"/>
    <s v="Karan"/>
  </r>
  <r>
    <x v="269"/>
    <x v="5"/>
    <x v="2"/>
    <s v="West Bengal"/>
    <x v="2"/>
    <s v="Table"/>
    <x v="124"/>
    <x v="269"/>
    <n v="106.12"/>
    <n v="9"/>
    <x v="2"/>
    <s v="Rahul"/>
  </r>
  <r>
    <x v="270"/>
    <x v="188"/>
    <x v="2"/>
    <s v="West Bengal"/>
    <x v="2"/>
    <s v="Bookcase"/>
    <x v="99"/>
    <x v="270"/>
    <n v="310.52"/>
    <n v="4"/>
    <x v="0"/>
    <s v="Rohit"/>
  </r>
  <r>
    <x v="271"/>
    <x v="172"/>
    <x v="3"/>
    <s v="Gujarat"/>
    <x v="0"/>
    <s v="Printer"/>
    <x v="135"/>
    <x v="271"/>
    <n v="912.49"/>
    <n v="8"/>
    <x v="1"/>
    <s v="Karan"/>
  </r>
  <r>
    <x v="272"/>
    <x v="168"/>
    <x v="2"/>
    <s v="Bihar"/>
    <x v="2"/>
    <s v="Table"/>
    <x v="41"/>
    <x v="272"/>
    <n v="621.75"/>
    <n v="10"/>
    <x v="0"/>
    <s v="Rohit"/>
  </r>
  <r>
    <x v="273"/>
    <x v="59"/>
    <x v="2"/>
    <s v="Odisha"/>
    <x v="1"/>
    <s v="Binder"/>
    <x v="71"/>
    <x v="273"/>
    <n v="360.15"/>
    <n v="2"/>
    <x v="2"/>
    <s v="Neha"/>
  </r>
  <r>
    <x v="274"/>
    <x v="189"/>
    <x v="2"/>
    <s v="Bihar"/>
    <x v="0"/>
    <s v="Printer"/>
    <x v="135"/>
    <x v="274"/>
    <n v="420.45"/>
    <n v="1"/>
    <x v="2"/>
    <s v="Amit"/>
  </r>
  <r>
    <x v="275"/>
    <x v="190"/>
    <x v="1"/>
    <s v="Telangana"/>
    <x v="0"/>
    <s v="Mouse"/>
    <x v="10"/>
    <x v="275"/>
    <n v="477.12"/>
    <n v="9"/>
    <x v="2"/>
    <s v="Sneha"/>
  </r>
  <r>
    <x v="276"/>
    <x v="39"/>
    <x v="2"/>
    <s v="Bihar"/>
    <x v="1"/>
    <s v="Pen"/>
    <x v="52"/>
    <x v="276"/>
    <n v="529.36"/>
    <n v="5"/>
    <x v="0"/>
    <s v="Rahul"/>
  </r>
  <r>
    <x v="277"/>
    <x v="191"/>
    <x v="0"/>
    <s v="Delhi"/>
    <x v="1"/>
    <s v="Binder"/>
    <x v="136"/>
    <x v="277"/>
    <n v="445.21"/>
    <n v="6"/>
    <x v="1"/>
    <s v="Neha"/>
  </r>
  <r>
    <x v="278"/>
    <x v="54"/>
    <x v="0"/>
    <s v="Delhi"/>
    <x v="0"/>
    <s v="Laptop"/>
    <x v="74"/>
    <x v="278"/>
    <n v="553.44000000000005"/>
    <n v="2"/>
    <x v="0"/>
    <s v="Anjali"/>
  </r>
  <r>
    <x v="279"/>
    <x v="192"/>
    <x v="3"/>
    <s v="Gujarat"/>
    <x v="1"/>
    <s v="Pen"/>
    <x v="37"/>
    <x v="279"/>
    <n v="462.3"/>
    <n v="4"/>
    <x v="2"/>
    <s v="Rahul"/>
  </r>
  <r>
    <x v="280"/>
    <x v="193"/>
    <x v="1"/>
    <s v="Tamil Nadu"/>
    <x v="0"/>
    <s v="Printer"/>
    <x v="43"/>
    <x v="280"/>
    <n v="775.87"/>
    <n v="10"/>
    <x v="0"/>
    <s v="Amit"/>
  </r>
  <r>
    <x v="281"/>
    <x v="18"/>
    <x v="1"/>
    <s v="Telangana"/>
    <x v="2"/>
    <s v="Table"/>
    <x v="9"/>
    <x v="281"/>
    <n v="371.41"/>
    <n v="3"/>
    <x v="2"/>
    <s v="Anjali"/>
  </r>
  <r>
    <x v="282"/>
    <x v="43"/>
    <x v="0"/>
    <s v="Delhi"/>
    <x v="2"/>
    <s v="Bookcase"/>
    <x v="122"/>
    <x v="282"/>
    <n v="162.31"/>
    <n v="7"/>
    <x v="1"/>
    <s v="Priya"/>
  </r>
  <r>
    <x v="283"/>
    <x v="60"/>
    <x v="2"/>
    <s v="Bihar"/>
    <x v="0"/>
    <s v="Printer"/>
    <x v="137"/>
    <x v="283"/>
    <n v="546.87"/>
    <n v="4"/>
    <x v="2"/>
    <s v="Amit"/>
  </r>
  <r>
    <x v="284"/>
    <x v="194"/>
    <x v="0"/>
    <s v="Delhi"/>
    <x v="0"/>
    <s v="Printer"/>
    <x v="83"/>
    <x v="284"/>
    <n v="249.17"/>
    <n v="2"/>
    <x v="1"/>
    <s v="Sneha"/>
  </r>
  <r>
    <x v="285"/>
    <x v="36"/>
    <x v="3"/>
    <s v="Rajasthan"/>
    <x v="2"/>
    <s v="Bookcase"/>
    <x v="107"/>
    <x v="285"/>
    <n v="210.56"/>
    <n v="6"/>
    <x v="2"/>
    <s v="Priya"/>
  </r>
  <r>
    <x v="286"/>
    <x v="195"/>
    <x v="0"/>
    <s v="Haryana"/>
    <x v="0"/>
    <s v="Mouse"/>
    <x v="10"/>
    <x v="286"/>
    <n v="540.1"/>
    <n v="5"/>
    <x v="2"/>
    <s v="Rohit"/>
  </r>
  <r>
    <x v="287"/>
    <x v="99"/>
    <x v="1"/>
    <s v="Karnataka"/>
    <x v="1"/>
    <s v="Pen"/>
    <x v="129"/>
    <x v="287"/>
    <n v="581.35"/>
    <n v="9"/>
    <x v="0"/>
    <s v="Rohit"/>
  </r>
  <r>
    <x v="288"/>
    <x v="196"/>
    <x v="2"/>
    <s v="Bihar"/>
    <x v="2"/>
    <s v="Chair"/>
    <x v="70"/>
    <x v="288"/>
    <n v="224.71"/>
    <n v="5"/>
    <x v="1"/>
    <s v="Priya"/>
  </r>
  <r>
    <x v="289"/>
    <x v="116"/>
    <x v="2"/>
    <s v="West Bengal"/>
    <x v="0"/>
    <s v="Printer"/>
    <x v="57"/>
    <x v="289"/>
    <n v="266.06"/>
    <n v="5"/>
    <x v="2"/>
    <s v="Anjali"/>
  </r>
  <r>
    <x v="290"/>
    <x v="197"/>
    <x v="1"/>
    <s v="Tamil Nadu"/>
    <x v="1"/>
    <s v="Pen"/>
    <x v="60"/>
    <x v="290"/>
    <n v="488.56"/>
    <n v="7"/>
    <x v="1"/>
    <s v="Priya"/>
  </r>
  <r>
    <x v="291"/>
    <x v="198"/>
    <x v="1"/>
    <s v="Telangana"/>
    <x v="2"/>
    <s v="Chair"/>
    <x v="77"/>
    <x v="291"/>
    <n v="252.46"/>
    <n v="2"/>
    <x v="1"/>
    <s v="Rohit"/>
  </r>
  <r>
    <x v="292"/>
    <x v="199"/>
    <x v="3"/>
    <s v="Maharashtra"/>
    <x v="1"/>
    <s v="Pen"/>
    <x v="138"/>
    <x v="292"/>
    <n v="919.53"/>
    <n v="1"/>
    <x v="0"/>
    <s v="Neha"/>
  </r>
  <r>
    <x v="293"/>
    <x v="200"/>
    <x v="2"/>
    <s v="Odisha"/>
    <x v="0"/>
    <s v="Laptop"/>
    <x v="0"/>
    <x v="293"/>
    <n v="189.77"/>
    <n v="3"/>
    <x v="0"/>
    <s v="Rohit"/>
  </r>
  <r>
    <x v="294"/>
    <x v="48"/>
    <x v="2"/>
    <s v="West Bengal"/>
    <x v="0"/>
    <s v="Laptop"/>
    <x v="96"/>
    <x v="294"/>
    <n v="278.33"/>
    <n v="3"/>
    <x v="2"/>
    <s v="Priya"/>
  </r>
  <r>
    <x v="295"/>
    <x v="201"/>
    <x v="3"/>
    <s v="Maharashtra"/>
    <x v="2"/>
    <s v="Bookcase"/>
    <x v="122"/>
    <x v="295"/>
    <n v="369.67"/>
    <n v="4"/>
    <x v="0"/>
    <s v="Sneha"/>
  </r>
  <r>
    <x v="296"/>
    <x v="202"/>
    <x v="1"/>
    <s v="Karnataka"/>
    <x v="0"/>
    <s v="Mouse"/>
    <x v="13"/>
    <x v="296"/>
    <n v="106.97"/>
    <n v="6"/>
    <x v="1"/>
    <s v="Sneha"/>
  </r>
  <r>
    <x v="297"/>
    <x v="203"/>
    <x v="3"/>
    <s v="Gujarat"/>
    <x v="0"/>
    <s v="Printer"/>
    <x v="83"/>
    <x v="297"/>
    <n v="429"/>
    <n v="6"/>
    <x v="1"/>
    <s v="Sneha"/>
  </r>
  <r>
    <x v="298"/>
    <x v="188"/>
    <x v="3"/>
    <s v="Maharashtra"/>
    <x v="0"/>
    <s v="Mouse"/>
    <x v="139"/>
    <x v="298"/>
    <n v="880.57"/>
    <n v="7"/>
    <x v="1"/>
    <s v="Amit"/>
  </r>
  <r>
    <x v="299"/>
    <x v="204"/>
    <x v="1"/>
    <s v="Karnataka"/>
    <x v="1"/>
    <s v="Binder"/>
    <x v="140"/>
    <x v="299"/>
    <n v="233.09"/>
    <n v="6"/>
    <x v="0"/>
    <s v="Amit"/>
  </r>
  <r>
    <x v="300"/>
    <x v="106"/>
    <x v="2"/>
    <s v="Odisha"/>
    <x v="0"/>
    <s v="Printer"/>
    <x v="126"/>
    <x v="300"/>
    <n v="556.78"/>
    <n v="8"/>
    <x v="1"/>
    <s v="Karan"/>
  </r>
  <r>
    <x v="301"/>
    <x v="205"/>
    <x v="0"/>
    <s v="Delhi"/>
    <x v="0"/>
    <s v="Mouse"/>
    <x v="92"/>
    <x v="301"/>
    <n v="296.02999999999997"/>
    <n v="8"/>
    <x v="1"/>
    <s v="Amit"/>
  </r>
  <r>
    <x v="302"/>
    <x v="206"/>
    <x v="1"/>
    <s v="Tamil Nadu"/>
    <x v="0"/>
    <s v="Printer"/>
    <x v="51"/>
    <x v="302"/>
    <n v="286.27999999999997"/>
    <n v="2"/>
    <x v="2"/>
    <s v="Karan"/>
  </r>
  <r>
    <x v="303"/>
    <x v="30"/>
    <x v="1"/>
    <s v="Tamil Nadu"/>
    <x v="1"/>
    <s v="Paper"/>
    <x v="141"/>
    <x v="303"/>
    <n v="241.11"/>
    <n v="1"/>
    <x v="0"/>
    <s v="Sneha"/>
  </r>
  <r>
    <x v="304"/>
    <x v="207"/>
    <x v="1"/>
    <s v="Tamil Nadu"/>
    <x v="2"/>
    <s v="Chair"/>
    <x v="70"/>
    <x v="304"/>
    <n v="282.81"/>
    <n v="5"/>
    <x v="1"/>
    <s v="Rahul"/>
  </r>
  <r>
    <x v="305"/>
    <x v="140"/>
    <x v="3"/>
    <s v="Gujarat"/>
    <x v="2"/>
    <s v="Table"/>
    <x v="142"/>
    <x v="305"/>
    <n v="76.989999999999995"/>
    <n v="1"/>
    <x v="2"/>
    <s v="Amit"/>
  </r>
  <r>
    <x v="306"/>
    <x v="142"/>
    <x v="1"/>
    <s v="Tamil Nadu"/>
    <x v="2"/>
    <s v="Bookcase"/>
    <x v="90"/>
    <x v="306"/>
    <n v="278.44"/>
    <n v="9"/>
    <x v="1"/>
    <s v="Priya"/>
  </r>
  <r>
    <x v="307"/>
    <x v="208"/>
    <x v="1"/>
    <s v="Karnataka"/>
    <x v="2"/>
    <s v="Bookcase"/>
    <x v="72"/>
    <x v="307"/>
    <n v="339.7"/>
    <n v="1"/>
    <x v="0"/>
    <s v="Anjali"/>
  </r>
  <r>
    <x v="308"/>
    <x v="208"/>
    <x v="1"/>
    <s v="Karnataka"/>
    <x v="0"/>
    <s v="Printer"/>
    <x v="43"/>
    <x v="308"/>
    <n v="99.04"/>
    <n v="10"/>
    <x v="0"/>
    <s v="Karan"/>
  </r>
  <r>
    <x v="309"/>
    <x v="147"/>
    <x v="3"/>
    <s v="Maharashtra"/>
    <x v="1"/>
    <s v="Paper"/>
    <x v="106"/>
    <x v="309"/>
    <n v="38.049999999999997"/>
    <n v="7"/>
    <x v="0"/>
    <s v="Amit"/>
  </r>
  <r>
    <x v="310"/>
    <x v="102"/>
    <x v="3"/>
    <s v="Maharashtra"/>
    <x v="1"/>
    <s v="Paper"/>
    <x v="25"/>
    <x v="310"/>
    <n v="106.57"/>
    <n v="1"/>
    <x v="2"/>
    <s v="Anjali"/>
  </r>
  <r>
    <x v="311"/>
    <x v="25"/>
    <x v="2"/>
    <s v="Bihar"/>
    <x v="2"/>
    <s v="Table"/>
    <x v="29"/>
    <x v="311"/>
    <n v="146.04"/>
    <n v="8"/>
    <x v="1"/>
    <s v="Priya"/>
  </r>
  <r>
    <x v="312"/>
    <x v="108"/>
    <x v="0"/>
    <s v="Punjab"/>
    <x v="1"/>
    <s v="Paper"/>
    <x v="143"/>
    <x v="312"/>
    <n v="392.11"/>
    <n v="5"/>
    <x v="1"/>
    <s v="Amit"/>
  </r>
  <r>
    <x v="313"/>
    <x v="209"/>
    <x v="2"/>
    <s v="Bihar"/>
    <x v="2"/>
    <s v="Bookcase"/>
    <x v="84"/>
    <x v="313"/>
    <n v="320.01"/>
    <n v="8"/>
    <x v="1"/>
    <s v="Neha"/>
  </r>
  <r>
    <x v="314"/>
    <x v="210"/>
    <x v="0"/>
    <s v="Delhi"/>
    <x v="2"/>
    <s v="Bookcase"/>
    <x v="103"/>
    <x v="314"/>
    <n v="37.28"/>
    <n v="8"/>
    <x v="1"/>
    <s v="Rohit"/>
  </r>
  <r>
    <x v="315"/>
    <x v="110"/>
    <x v="1"/>
    <s v="Tamil Nadu"/>
    <x v="0"/>
    <s v="Laptop"/>
    <x v="67"/>
    <x v="315"/>
    <n v="213.55"/>
    <n v="6"/>
    <x v="1"/>
    <s v="Rahul"/>
  </r>
  <r>
    <x v="316"/>
    <x v="211"/>
    <x v="1"/>
    <s v="Tamil Nadu"/>
    <x v="1"/>
    <s v="Binder"/>
    <x v="44"/>
    <x v="316"/>
    <n v="141.49"/>
    <n v="1"/>
    <x v="1"/>
    <s v="Neha"/>
  </r>
  <r>
    <x v="317"/>
    <x v="86"/>
    <x v="3"/>
    <s v="Maharashtra"/>
    <x v="0"/>
    <s v="Laptop"/>
    <x v="69"/>
    <x v="317"/>
    <n v="547.66"/>
    <n v="3"/>
    <x v="2"/>
    <s v="Amit"/>
  </r>
  <r>
    <x v="318"/>
    <x v="212"/>
    <x v="3"/>
    <s v="Rajasthan"/>
    <x v="0"/>
    <s v="Laptop"/>
    <x v="110"/>
    <x v="318"/>
    <n v="1159.5999999999999"/>
    <n v="10"/>
    <x v="2"/>
    <s v="Priya"/>
  </r>
  <r>
    <x v="319"/>
    <x v="213"/>
    <x v="2"/>
    <s v="West Bengal"/>
    <x v="1"/>
    <s v="Paper"/>
    <x v="45"/>
    <x v="319"/>
    <n v="506.3"/>
    <n v="7"/>
    <x v="2"/>
    <s v="Sneha"/>
  </r>
  <r>
    <x v="320"/>
    <x v="214"/>
    <x v="0"/>
    <s v="Delhi"/>
    <x v="1"/>
    <s v="Paper"/>
    <x v="49"/>
    <x v="320"/>
    <n v="254.04"/>
    <n v="6"/>
    <x v="1"/>
    <s v="Neha"/>
  </r>
  <r>
    <x v="321"/>
    <x v="215"/>
    <x v="0"/>
    <s v="Haryana"/>
    <x v="1"/>
    <s v="Binder"/>
    <x v="53"/>
    <x v="321"/>
    <n v="175.08"/>
    <n v="2"/>
    <x v="1"/>
    <s v="Rohit"/>
  </r>
  <r>
    <x v="322"/>
    <x v="216"/>
    <x v="1"/>
    <s v="Tamil Nadu"/>
    <x v="2"/>
    <s v="Table"/>
    <x v="16"/>
    <x v="322"/>
    <n v="652.59"/>
    <n v="6"/>
    <x v="0"/>
    <s v="Karan"/>
  </r>
  <r>
    <x v="323"/>
    <x v="96"/>
    <x v="0"/>
    <s v="Punjab"/>
    <x v="1"/>
    <s v="Binder"/>
    <x v="144"/>
    <x v="323"/>
    <n v="672.87"/>
    <n v="4"/>
    <x v="2"/>
    <s v="Sneha"/>
  </r>
  <r>
    <x v="324"/>
    <x v="31"/>
    <x v="1"/>
    <s v="Tamil Nadu"/>
    <x v="2"/>
    <s v="Chair"/>
    <x v="125"/>
    <x v="324"/>
    <n v="1052.17"/>
    <n v="3"/>
    <x v="2"/>
    <s v="Anjali"/>
  </r>
  <r>
    <x v="325"/>
    <x v="124"/>
    <x v="3"/>
    <s v="Rajasthan"/>
    <x v="1"/>
    <s v="Pen"/>
    <x v="88"/>
    <x v="325"/>
    <n v="1226.57"/>
    <n v="9"/>
    <x v="1"/>
    <s v="Karan"/>
  </r>
  <r>
    <x v="326"/>
    <x v="83"/>
    <x v="2"/>
    <s v="Odisha"/>
    <x v="2"/>
    <s v="Table"/>
    <x v="29"/>
    <x v="326"/>
    <n v="42.21"/>
    <n v="3"/>
    <x v="0"/>
    <s v="Priya"/>
  </r>
  <r>
    <x v="327"/>
    <x v="217"/>
    <x v="3"/>
    <s v="Maharashtra"/>
    <x v="0"/>
    <s v="Mouse"/>
    <x v="92"/>
    <x v="327"/>
    <n v="617.87"/>
    <n v="4"/>
    <x v="1"/>
    <s v="Karan"/>
  </r>
  <r>
    <x v="328"/>
    <x v="101"/>
    <x v="0"/>
    <s v="Punjab"/>
    <x v="2"/>
    <s v="Bookcase"/>
    <x v="90"/>
    <x v="328"/>
    <n v="804.12"/>
    <n v="8"/>
    <x v="1"/>
    <s v="Priya"/>
  </r>
  <r>
    <x v="329"/>
    <x v="218"/>
    <x v="0"/>
    <s v="Haryana"/>
    <x v="2"/>
    <s v="Bookcase"/>
    <x v="90"/>
    <x v="329"/>
    <n v="978.01"/>
    <n v="2"/>
    <x v="2"/>
    <s v="Sneha"/>
  </r>
  <r>
    <x v="330"/>
    <x v="11"/>
    <x v="3"/>
    <s v="Gujarat"/>
    <x v="1"/>
    <s v="Pen"/>
    <x v="42"/>
    <x v="330"/>
    <n v="876.81"/>
    <n v="5"/>
    <x v="0"/>
    <s v="Rohit"/>
  </r>
  <r>
    <x v="331"/>
    <x v="130"/>
    <x v="3"/>
    <s v="Maharashtra"/>
    <x v="2"/>
    <s v="Chair"/>
    <x v="40"/>
    <x v="331"/>
    <n v="164.25"/>
    <n v="5"/>
    <x v="0"/>
    <s v="Sneha"/>
  </r>
  <r>
    <x v="332"/>
    <x v="70"/>
    <x v="0"/>
    <s v="Punjab"/>
    <x v="0"/>
    <s v="Mouse"/>
    <x v="145"/>
    <x v="332"/>
    <n v="170.94"/>
    <n v="5"/>
    <x v="1"/>
    <s v="Rohit"/>
  </r>
  <r>
    <x v="333"/>
    <x v="24"/>
    <x v="1"/>
    <s v="Karnataka"/>
    <x v="0"/>
    <s v="Mouse"/>
    <x v="13"/>
    <x v="333"/>
    <n v="577.47"/>
    <n v="8"/>
    <x v="1"/>
    <s v="Neha"/>
  </r>
  <r>
    <x v="334"/>
    <x v="219"/>
    <x v="1"/>
    <s v="Tamil Nadu"/>
    <x v="0"/>
    <s v="Mouse"/>
    <x v="2"/>
    <x v="334"/>
    <n v="23.06"/>
    <n v="6"/>
    <x v="1"/>
    <s v="Rohit"/>
  </r>
  <r>
    <x v="335"/>
    <x v="101"/>
    <x v="0"/>
    <s v="Punjab"/>
    <x v="1"/>
    <s v="Pen"/>
    <x v="146"/>
    <x v="335"/>
    <n v="786.29"/>
    <n v="10"/>
    <x v="0"/>
    <s v="Rohit"/>
  </r>
  <r>
    <x v="336"/>
    <x v="120"/>
    <x v="1"/>
    <s v="Telangana"/>
    <x v="2"/>
    <s v="Table"/>
    <x v="147"/>
    <x v="336"/>
    <n v="188.99"/>
    <n v="5"/>
    <x v="0"/>
    <s v="Rohit"/>
  </r>
  <r>
    <x v="337"/>
    <x v="220"/>
    <x v="3"/>
    <s v="Rajasthan"/>
    <x v="1"/>
    <s v="Paper"/>
    <x v="54"/>
    <x v="337"/>
    <n v="15.33"/>
    <n v="5"/>
    <x v="2"/>
    <s v="Rohit"/>
  </r>
  <r>
    <x v="338"/>
    <x v="221"/>
    <x v="3"/>
    <s v="Maharashtra"/>
    <x v="2"/>
    <s v="Table"/>
    <x v="68"/>
    <x v="338"/>
    <n v="730.88"/>
    <n v="7"/>
    <x v="2"/>
    <s v="Rohit"/>
  </r>
  <r>
    <x v="339"/>
    <x v="95"/>
    <x v="1"/>
    <s v="Karnataka"/>
    <x v="1"/>
    <s v="Paper"/>
    <x v="141"/>
    <x v="339"/>
    <n v="540.30999999999995"/>
    <n v="10"/>
    <x v="2"/>
    <s v="Anjali"/>
  </r>
  <r>
    <x v="340"/>
    <x v="222"/>
    <x v="3"/>
    <s v="Gujarat"/>
    <x v="1"/>
    <s v="Paper"/>
    <x v="47"/>
    <x v="340"/>
    <n v="221.58"/>
    <n v="8"/>
    <x v="1"/>
    <s v="Amit"/>
  </r>
  <r>
    <x v="341"/>
    <x v="223"/>
    <x v="0"/>
    <s v="Delhi"/>
    <x v="0"/>
    <s v="Laptop"/>
    <x v="148"/>
    <x v="341"/>
    <n v="293.91000000000003"/>
    <n v="6"/>
    <x v="1"/>
    <s v="Rahul"/>
  </r>
  <r>
    <x v="342"/>
    <x v="224"/>
    <x v="2"/>
    <s v="Odisha"/>
    <x v="2"/>
    <s v="Table"/>
    <x v="32"/>
    <x v="342"/>
    <n v="77.95"/>
    <n v="10"/>
    <x v="1"/>
    <s v="Sneha"/>
  </r>
  <r>
    <x v="343"/>
    <x v="225"/>
    <x v="2"/>
    <s v="Bihar"/>
    <x v="0"/>
    <s v="Printer"/>
    <x v="149"/>
    <x v="343"/>
    <n v="442.89"/>
    <n v="5"/>
    <x v="2"/>
    <s v="Rohit"/>
  </r>
  <r>
    <x v="344"/>
    <x v="66"/>
    <x v="0"/>
    <s v="Punjab"/>
    <x v="0"/>
    <s v="Mouse"/>
    <x v="139"/>
    <x v="344"/>
    <n v="787.54"/>
    <n v="8"/>
    <x v="0"/>
    <s v="Amit"/>
  </r>
  <r>
    <x v="345"/>
    <x v="41"/>
    <x v="2"/>
    <s v="Bihar"/>
    <x v="1"/>
    <s v="Pen"/>
    <x v="37"/>
    <x v="345"/>
    <n v="1519.02"/>
    <n v="4"/>
    <x v="2"/>
    <s v="Rohit"/>
  </r>
  <r>
    <x v="346"/>
    <x v="177"/>
    <x v="1"/>
    <s v="Telangana"/>
    <x v="2"/>
    <s v="Bookcase"/>
    <x v="109"/>
    <x v="346"/>
    <n v="617.99"/>
    <n v="10"/>
    <x v="1"/>
    <s v="Rahul"/>
  </r>
  <r>
    <x v="347"/>
    <x v="107"/>
    <x v="0"/>
    <s v="Punjab"/>
    <x v="0"/>
    <s v="Laptop"/>
    <x v="48"/>
    <x v="347"/>
    <n v="1342.61"/>
    <n v="2"/>
    <x v="2"/>
    <s v="Priya"/>
  </r>
  <r>
    <x v="348"/>
    <x v="164"/>
    <x v="1"/>
    <s v="Telangana"/>
    <x v="2"/>
    <s v="Bookcase"/>
    <x v="150"/>
    <x v="348"/>
    <n v="644.80999999999995"/>
    <n v="7"/>
    <x v="1"/>
    <s v="Amit"/>
  </r>
  <r>
    <x v="349"/>
    <x v="114"/>
    <x v="2"/>
    <s v="Bihar"/>
    <x v="1"/>
    <s v="Paper"/>
    <x v="19"/>
    <x v="349"/>
    <n v="416.2"/>
    <n v="5"/>
    <x v="0"/>
    <s v="Neha"/>
  </r>
  <r>
    <x v="350"/>
    <x v="226"/>
    <x v="1"/>
    <s v="Karnataka"/>
    <x v="2"/>
    <s v="Chair"/>
    <x v="79"/>
    <x v="350"/>
    <n v="963.76"/>
    <n v="3"/>
    <x v="0"/>
    <s v="Sneha"/>
  </r>
  <r>
    <x v="351"/>
    <x v="140"/>
    <x v="3"/>
    <s v="Gujarat"/>
    <x v="2"/>
    <s v="Chair"/>
    <x v="151"/>
    <x v="351"/>
    <n v="469.1"/>
    <n v="1"/>
    <x v="2"/>
    <s v="Rahul"/>
  </r>
  <r>
    <x v="352"/>
    <x v="227"/>
    <x v="1"/>
    <s v="Karnataka"/>
    <x v="1"/>
    <s v="Binder"/>
    <x v="27"/>
    <x v="352"/>
    <n v="1209.3"/>
    <n v="8"/>
    <x v="1"/>
    <s v="Amit"/>
  </r>
  <r>
    <x v="353"/>
    <x v="228"/>
    <x v="3"/>
    <s v="Maharashtra"/>
    <x v="0"/>
    <s v="Laptop"/>
    <x v="134"/>
    <x v="353"/>
    <n v="238.15"/>
    <n v="3"/>
    <x v="2"/>
    <s v="Rahul"/>
  </r>
  <r>
    <x v="354"/>
    <x v="229"/>
    <x v="0"/>
    <s v="Delhi"/>
    <x v="1"/>
    <s v="Binder"/>
    <x v="30"/>
    <x v="354"/>
    <n v="75.66"/>
    <n v="6"/>
    <x v="1"/>
    <s v="Neha"/>
  </r>
  <r>
    <x v="355"/>
    <x v="108"/>
    <x v="0"/>
    <s v="Haryana"/>
    <x v="1"/>
    <s v="Paper"/>
    <x v="111"/>
    <x v="355"/>
    <n v="1644.53"/>
    <n v="2"/>
    <x v="1"/>
    <s v="Neha"/>
  </r>
  <r>
    <x v="356"/>
    <x v="230"/>
    <x v="3"/>
    <s v="Gujarat"/>
    <x v="0"/>
    <s v="Mouse"/>
    <x v="100"/>
    <x v="356"/>
    <n v="800.62"/>
    <n v="8"/>
    <x v="2"/>
    <s v="Amit"/>
  </r>
  <r>
    <x v="357"/>
    <x v="29"/>
    <x v="3"/>
    <s v="Rajasthan"/>
    <x v="0"/>
    <s v="Laptop"/>
    <x v="59"/>
    <x v="357"/>
    <n v="580.73"/>
    <n v="5"/>
    <x v="0"/>
    <s v="Anjali"/>
  </r>
  <r>
    <x v="358"/>
    <x v="21"/>
    <x v="1"/>
    <s v="Karnataka"/>
    <x v="0"/>
    <s v="Mouse"/>
    <x v="26"/>
    <x v="358"/>
    <n v="639.25"/>
    <n v="5"/>
    <x v="1"/>
    <s v="Amit"/>
  </r>
  <r>
    <x v="359"/>
    <x v="143"/>
    <x v="2"/>
    <s v="Bihar"/>
    <x v="1"/>
    <s v="Binder"/>
    <x v="117"/>
    <x v="359"/>
    <n v="534.95000000000005"/>
    <n v="7"/>
    <x v="0"/>
    <s v="Priya"/>
  </r>
  <r>
    <x v="360"/>
    <x v="177"/>
    <x v="0"/>
    <s v="Delhi"/>
    <x v="2"/>
    <s v="Table"/>
    <x v="33"/>
    <x v="360"/>
    <n v="778.86"/>
    <n v="2"/>
    <x v="1"/>
    <s v="Amit"/>
  </r>
  <r>
    <x v="361"/>
    <x v="129"/>
    <x v="0"/>
    <s v="Punjab"/>
    <x v="1"/>
    <s v="Pen"/>
    <x v="46"/>
    <x v="361"/>
    <n v="1272.28"/>
    <n v="9"/>
    <x v="2"/>
    <s v="Amit"/>
  </r>
  <r>
    <x v="362"/>
    <x v="216"/>
    <x v="2"/>
    <s v="Odisha"/>
    <x v="1"/>
    <s v="Pen"/>
    <x v="152"/>
    <x v="362"/>
    <n v="471.06"/>
    <n v="8"/>
    <x v="1"/>
    <s v="Priya"/>
  </r>
  <r>
    <x v="363"/>
    <x v="178"/>
    <x v="0"/>
    <s v="Punjab"/>
    <x v="1"/>
    <s v="Paper"/>
    <x v="45"/>
    <x v="363"/>
    <n v="429.78"/>
    <n v="7"/>
    <x v="0"/>
    <s v="Rahul"/>
  </r>
  <r>
    <x v="364"/>
    <x v="231"/>
    <x v="2"/>
    <s v="West Bengal"/>
    <x v="0"/>
    <s v="Laptop"/>
    <x v="153"/>
    <x v="364"/>
    <n v="122.91"/>
    <n v="5"/>
    <x v="2"/>
    <s v="Anjali"/>
  </r>
  <r>
    <x v="365"/>
    <x v="177"/>
    <x v="2"/>
    <s v="West Bengal"/>
    <x v="0"/>
    <s v="Mouse"/>
    <x v="100"/>
    <x v="365"/>
    <n v="185.73"/>
    <n v="6"/>
    <x v="2"/>
    <s v="Anjali"/>
  </r>
  <r>
    <x v="366"/>
    <x v="14"/>
    <x v="1"/>
    <s v="Telangana"/>
    <x v="1"/>
    <s v="Binder"/>
    <x v="50"/>
    <x v="366"/>
    <n v="135.51"/>
    <n v="3"/>
    <x v="2"/>
    <s v="Neha"/>
  </r>
  <r>
    <x v="367"/>
    <x v="14"/>
    <x v="0"/>
    <s v="Punjab"/>
    <x v="0"/>
    <s v="Printer"/>
    <x v="5"/>
    <x v="367"/>
    <n v="1399.86"/>
    <n v="2"/>
    <x v="0"/>
    <s v="Neha"/>
  </r>
  <r>
    <x v="368"/>
    <x v="87"/>
    <x v="3"/>
    <s v="Rajasthan"/>
    <x v="0"/>
    <s v="Printer"/>
    <x v="57"/>
    <x v="368"/>
    <n v="732.07"/>
    <n v="1"/>
    <x v="0"/>
    <s v="Neha"/>
  </r>
  <r>
    <x v="369"/>
    <x v="232"/>
    <x v="1"/>
    <s v="Tamil Nadu"/>
    <x v="2"/>
    <s v="Bookcase"/>
    <x v="102"/>
    <x v="369"/>
    <n v="635.30999999999995"/>
    <n v="6"/>
    <x v="0"/>
    <s v="Neha"/>
  </r>
  <r>
    <x v="370"/>
    <x v="196"/>
    <x v="1"/>
    <s v="Karnataka"/>
    <x v="2"/>
    <s v="Chair"/>
    <x v="118"/>
    <x v="370"/>
    <n v="938.26"/>
    <n v="7"/>
    <x v="1"/>
    <s v="Anjali"/>
  </r>
  <r>
    <x v="371"/>
    <x v="233"/>
    <x v="0"/>
    <s v="Haryana"/>
    <x v="1"/>
    <s v="Pen"/>
    <x v="133"/>
    <x v="371"/>
    <n v="592.16"/>
    <n v="2"/>
    <x v="1"/>
    <s v="Neha"/>
  </r>
  <r>
    <x v="372"/>
    <x v="27"/>
    <x v="2"/>
    <s v="Bihar"/>
    <x v="2"/>
    <s v="Bookcase"/>
    <x v="38"/>
    <x v="372"/>
    <n v="52.98"/>
    <n v="6"/>
    <x v="0"/>
    <s v="Rohit"/>
  </r>
  <r>
    <x v="373"/>
    <x v="17"/>
    <x v="0"/>
    <s v="Delhi"/>
    <x v="0"/>
    <s v="Printer"/>
    <x v="83"/>
    <x v="373"/>
    <n v="272.83"/>
    <n v="2"/>
    <x v="1"/>
    <s v="Priya"/>
  </r>
  <r>
    <x v="374"/>
    <x v="234"/>
    <x v="2"/>
    <s v="Bihar"/>
    <x v="2"/>
    <s v="Bookcase"/>
    <x v="154"/>
    <x v="374"/>
    <n v="333.69"/>
    <n v="1"/>
    <x v="2"/>
    <s v="Rohit"/>
  </r>
  <r>
    <x v="375"/>
    <x v="147"/>
    <x v="1"/>
    <s v="Telangana"/>
    <x v="0"/>
    <s v="Mouse"/>
    <x v="108"/>
    <x v="375"/>
    <n v="171.32"/>
    <n v="5"/>
    <x v="2"/>
    <s v="Priya"/>
  </r>
  <r>
    <x v="376"/>
    <x v="235"/>
    <x v="0"/>
    <s v="Haryana"/>
    <x v="1"/>
    <s v="Binder"/>
    <x v="136"/>
    <x v="376"/>
    <n v="199.7"/>
    <n v="5"/>
    <x v="2"/>
    <s v="Anjali"/>
  </r>
  <r>
    <x v="377"/>
    <x v="236"/>
    <x v="1"/>
    <s v="Telangana"/>
    <x v="0"/>
    <s v="Laptop"/>
    <x v="134"/>
    <x v="377"/>
    <n v="579.66"/>
    <n v="10"/>
    <x v="1"/>
    <s v="Sneha"/>
  </r>
  <r>
    <x v="378"/>
    <x v="237"/>
    <x v="3"/>
    <s v="Gujarat"/>
    <x v="1"/>
    <s v="Binder"/>
    <x v="121"/>
    <x v="378"/>
    <n v="201.46"/>
    <n v="6"/>
    <x v="0"/>
    <s v="Sneha"/>
  </r>
  <r>
    <x v="379"/>
    <x v="238"/>
    <x v="3"/>
    <s v="Gujarat"/>
    <x v="1"/>
    <s v="Paper"/>
    <x v="155"/>
    <x v="379"/>
    <n v="1095.92"/>
    <n v="5"/>
    <x v="0"/>
    <s v="Amit"/>
  </r>
  <r>
    <x v="380"/>
    <x v="239"/>
    <x v="0"/>
    <s v="Delhi"/>
    <x v="2"/>
    <s v="Table"/>
    <x v="98"/>
    <x v="380"/>
    <n v="456.4"/>
    <n v="8"/>
    <x v="2"/>
    <s v="Karan"/>
  </r>
  <r>
    <x v="381"/>
    <x v="240"/>
    <x v="3"/>
    <s v="Maharashtra"/>
    <x v="0"/>
    <s v="Laptop"/>
    <x v="31"/>
    <x v="381"/>
    <n v="1278.94"/>
    <n v="5"/>
    <x v="0"/>
    <s v="Sneha"/>
  </r>
  <r>
    <x v="382"/>
    <x v="241"/>
    <x v="0"/>
    <s v="Punjab"/>
    <x v="2"/>
    <s v="Chair"/>
    <x v="11"/>
    <x v="382"/>
    <n v="431.47"/>
    <n v="10"/>
    <x v="2"/>
    <s v="Amit"/>
  </r>
  <r>
    <x v="383"/>
    <x v="115"/>
    <x v="0"/>
    <s v="Punjab"/>
    <x v="2"/>
    <s v="Bookcase"/>
    <x v="38"/>
    <x v="383"/>
    <n v="331.65"/>
    <n v="7"/>
    <x v="2"/>
    <s v="Rahul"/>
  </r>
  <r>
    <x v="384"/>
    <x v="242"/>
    <x v="3"/>
    <s v="Gujarat"/>
    <x v="2"/>
    <s v="Bookcase"/>
    <x v="93"/>
    <x v="194"/>
    <n v="116.64"/>
    <n v="2"/>
    <x v="2"/>
    <s v="Anjali"/>
  </r>
  <r>
    <x v="385"/>
    <x v="102"/>
    <x v="3"/>
    <s v="Maharashtra"/>
    <x v="2"/>
    <s v="Bookcase"/>
    <x v="156"/>
    <x v="384"/>
    <n v="385.89"/>
    <n v="3"/>
    <x v="0"/>
    <s v="Rahul"/>
  </r>
  <r>
    <x v="386"/>
    <x v="82"/>
    <x v="3"/>
    <s v="Gujarat"/>
    <x v="0"/>
    <s v="Printer"/>
    <x v="43"/>
    <x v="385"/>
    <n v="572.24"/>
    <n v="5"/>
    <x v="1"/>
    <s v="Anjali"/>
  </r>
  <r>
    <x v="387"/>
    <x v="243"/>
    <x v="1"/>
    <s v="Telangana"/>
    <x v="1"/>
    <s v="Pen"/>
    <x v="24"/>
    <x v="386"/>
    <n v="225.55"/>
    <n v="3"/>
    <x v="0"/>
    <s v="Rohit"/>
  </r>
  <r>
    <x v="388"/>
    <x v="244"/>
    <x v="0"/>
    <s v="Delhi"/>
    <x v="0"/>
    <s v="Laptop"/>
    <x v="20"/>
    <x v="387"/>
    <n v="72.14"/>
    <n v="9"/>
    <x v="2"/>
    <s v="Neha"/>
  </r>
  <r>
    <x v="389"/>
    <x v="51"/>
    <x v="3"/>
    <s v="Rajasthan"/>
    <x v="1"/>
    <s v="Paper"/>
    <x v="19"/>
    <x v="388"/>
    <n v="601.29"/>
    <n v="2"/>
    <x v="0"/>
    <s v="Priya"/>
  </r>
  <r>
    <x v="390"/>
    <x v="150"/>
    <x v="2"/>
    <s v="Bihar"/>
    <x v="1"/>
    <s v="Paper"/>
    <x v="73"/>
    <x v="389"/>
    <n v="407.36"/>
    <n v="1"/>
    <x v="2"/>
    <s v="Rohit"/>
  </r>
  <r>
    <x v="391"/>
    <x v="99"/>
    <x v="2"/>
    <s v="West Bengal"/>
    <x v="2"/>
    <s v="Bookcase"/>
    <x v="154"/>
    <x v="390"/>
    <n v="621.32000000000005"/>
    <n v="10"/>
    <x v="1"/>
    <s v="Anjali"/>
  </r>
  <r>
    <x v="392"/>
    <x v="245"/>
    <x v="0"/>
    <s v="Delhi"/>
    <x v="1"/>
    <s v="Binder"/>
    <x v="157"/>
    <x v="391"/>
    <n v="241.12"/>
    <n v="10"/>
    <x v="2"/>
    <s v="Anjali"/>
  </r>
  <r>
    <x v="393"/>
    <x v="10"/>
    <x v="1"/>
    <s v="Tamil Nadu"/>
    <x v="2"/>
    <s v="Bookcase"/>
    <x v="90"/>
    <x v="392"/>
    <n v="274.25"/>
    <n v="8"/>
    <x v="2"/>
    <s v="Sneha"/>
  </r>
  <r>
    <x v="394"/>
    <x v="246"/>
    <x v="0"/>
    <s v="Haryana"/>
    <x v="2"/>
    <s v="Bookcase"/>
    <x v="90"/>
    <x v="393"/>
    <n v="1172.55"/>
    <n v="8"/>
    <x v="0"/>
    <s v="Karan"/>
  </r>
  <r>
    <x v="395"/>
    <x v="247"/>
    <x v="3"/>
    <s v="Maharashtra"/>
    <x v="2"/>
    <s v="Table"/>
    <x v="7"/>
    <x v="394"/>
    <n v="1020.84"/>
    <n v="1"/>
    <x v="2"/>
    <s v="Amit"/>
  </r>
  <r>
    <x v="396"/>
    <x v="248"/>
    <x v="2"/>
    <s v="Bihar"/>
    <x v="1"/>
    <s v="Pen"/>
    <x v="65"/>
    <x v="395"/>
    <n v="667.76"/>
    <n v="9"/>
    <x v="1"/>
    <s v="Anjali"/>
  </r>
  <r>
    <x v="397"/>
    <x v="33"/>
    <x v="0"/>
    <s v="Delhi"/>
    <x v="2"/>
    <s v="Table"/>
    <x v="105"/>
    <x v="396"/>
    <n v="416.01"/>
    <n v="3"/>
    <x v="1"/>
    <s v="Anjali"/>
  </r>
  <r>
    <x v="398"/>
    <x v="42"/>
    <x v="1"/>
    <s v="Tamil Nadu"/>
    <x v="0"/>
    <s v="Laptop"/>
    <x v="48"/>
    <x v="397"/>
    <n v="621.22"/>
    <n v="8"/>
    <x v="0"/>
    <s v="Neha"/>
  </r>
  <r>
    <x v="399"/>
    <x v="249"/>
    <x v="3"/>
    <s v="Rajasthan"/>
    <x v="0"/>
    <s v="Printer"/>
    <x v="158"/>
    <x v="398"/>
    <n v="380.62"/>
    <n v="2"/>
    <x v="1"/>
    <s v="Karan"/>
  </r>
  <r>
    <x v="400"/>
    <x v="250"/>
    <x v="0"/>
    <s v="Punjab"/>
    <x v="0"/>
    <s v="Printer"/>
    <x v="43"/>
    <x v="399"/>
    <n v="66.63"/>
    <n v="8"/>
    <x v="2"/>
    <s v="Amit"/>
  </r>
  <r>
    <x v="401"/>
    <x v="11"/>
    <x v="3"/>
    <s v="Gujarat"/>
    <x v="2"/>
    <s v="Bookcase"/>
    <x v="84"/>
    <x v="400"/>
    <n v="475.28"/>
    <n v="8"/>
    <x v="0"/>
    <s v="Priya"/>
  </r>
  <r>
    <x v="402"/>
    <x v="48"/>
    <x v="3"/>
    <s v="Rajasthan"/>
    <x v="0"/>
    <s v="Laptop"/>
    <x v="59"/>
    <x v="401"/>
    <n v="538.83000000000004"/>
    <n v="1"/>
    <x v="2"/>
    <s v="Neha"/>
  </r>
  <r>
    <x v="403"/>
    <x v="73"/>
    <x v="1"/>
    <s v="Karnataka"/>
    <x v="2"/>
    <s v="Table"/>
    <x v="131"/>
    <x v="402"/>
    <n v="205.73"/>
    <n v="3"/>
    <x v="1"/>
    <s v="Anjali"/>
  </r>
  <r>
    <x v="404"/>
    <x v="251"/>
    <x v="2"/>
    <s v="Odisha"/>
    <x v="2"/>
    <s v="Table"/>
    <x v="41"/>
    <x v="403"/>
    <n v="320.02999999999997"/>
    <n v="7"/>
    <x v="1"/>
    <s v="Priya"/>
  </r>
  <r>
    <x v="405"/>
    <x v="252"/>
    <x v="3"/>
    <s v="Gujarat"/>
    <x v="0"/>
    <s v="Laptop"/>
    <x v="67"/>
    <x v="404"/>
    <n v="119.74"/>
    <n v="10"/>
    <x v="0"/>
    <s v="Amit"/>
  </r>
  <r>
    <x v="406"/>
    <x v="98"/>
    <x v="3"/>
    <s v="Maharashtra"/>
    <x v="1"/>
    <s v="Paper"/>
    <x v="47"/>
    <x v="405"/>
    <n v="559.29999999999995"/>
    <n v="3"/>
    <x v="1"/>
    <s v="Rohit"/>
  </r>
  <r>
    <x v="407"/>
    <x v="149"/>
    <x v="0"/>
    <s v="Punjab"/>
    <x v="1"/>
    <s v="Paper"/>
    <x v="25"/>
    <x v="406"/>
    <n v="48.87"/>
    <n v="2"/>
    <x v="1"/>
    <s v="Rahul"/>
  </r>
  <r>
    <x v="408"/>
    <x v="61"/>
    <x v="1"/>
    <s v="Karnataka"/>
    <x v="1"/>
    <s v="Paper"/>
    <x v="49"/>
    <x v="407"/>
    <n v="107.81"/>
    <n v="3"/>
    <x v="0"/>
    <s v="Karan"/>
  </r>
  <r>
    <x v="409"/>
    <x v="67"/>
    <x v="1"/>
    <s v="Karnataka"/>
    <x v="1"/>
    <s v="Paper"/>
    <x v="34"/>
    <x v="408"/>
    <n v="19.91"/>
    <n v="8"/>
    <x v="1"/>
    <s v="Anjali"/>
  </r>
  <r>
    <x v="410"/>
    <x v="185"/>
    <x v="1"/>
    <s v="Telangana"/>
    <x v="2"/>
    <s v="Table"/>
    <x v="105"/>
    <x v="409"/>
    <n v="324.97000000000003"/>
    <n v="9"/>
    <x v="1"/>
    <s v="Karan"/>
  </r>
  <r>
    <x v="411"/>
    <x v="172"/>
    <x v="1"/>
    <s v="Telangana"/>
    <x v="2"/>
    <s v="Table"/>
    <x v="105"/>
    <x v="410"/>
    <n v="475.53"/>
    <n v="1"/>
    <x v="2"/>
    <s v="Sneha"/>
  </r>
  <r>
    <x v="412"/>
    <x v="23"/>
    <x v="2"/>
    <s v="West Bengal"/>
    <x v="0"/>
    <s v="Mouse"/>
    <x v="92"/>
    <x v="411"/>
    <n v="30.91"/>
    <n v="4"/>
    <x v="2"/>
    <s v="Amit"/>
  </r>
  <r>
    <x v="413"/>
    <x v="253"/>
    <x v="0"/>
    <s v="Haryana"/>
    <x v="2"/>
    <s v="Chair"/>
    <x v="56"/>
    <x v="412"/>
    <n v="880.73"/>
    <n v="1"/>
    <x v="2"/>
    <s v="Rahul"/>
  </r>
  <r>
    <x v="414"/>
    <x v="254"/>
    <x v="1"/>
    <s v="Karnataka"/>
    <x v="1"/>
    <s v="Paper"/>
    <x v="155"/>
    <x v="413"/>
    <n v="372.49"/>
    <n v="5"/>
    <x v="0"/>
    <s v="Rahul"/>
  </r>
  <r>
    <x v="415"/>
    <x v="41"/>
    <x v="2"/>
    <s v="West Bengal"/>
    <x v="0"/>
    <s v="Printer"/>
    <x v="43"/>
    <x v="414"/>
    <n v="184.02"/>
    <n v="6"/>
    <x v="2"/>
    <s v="Rahul"/>
  </r>
  <r>
    <x v="416"/>
    <x v="121"/>
    <x v="2"/>
    <s v="Odisha"/>
    <x v="1"/>
    <s v="Pen"/>
    <x v="152"/>
    <x v="415"/>
    <n v="197.91"/>
    <n v="3"/>
    <x v="2"/>
    <s v="Rohit"/>
  </r>
  <r>
    <x v="417"/>
    <x v="139"/>
    <x v="1"/>
    <s v="Tamil Nadu"/>
    <x v="1"/>
    <s v="Paper"/>
    <x v="101"/>
    <x v="416"/>
    <n v="198.25"/>
    <n v="5"/>
    <x v="2"/>
    <s v="Anjali"/>
  </r>
  <r>
    <x v="418"/>
    <x v="2"/>
    <x v="0"/>
    <s v="Haryana"/>
    <x v="2"/>
    <s v="Bookcase"/>
    <x v="72"/>
    <x v="417"/>
    <n v="85.03"/>
    <n v="9"/>
    <x v="0"/>
    <s v="Amit"/>
  </r>
  <r>
    <x v="419"/>
    <x v="21"/>
    <x v="1"/>
    <s v="Tamil Nadu"/>
    <x v="1"/>
    <s v="Binder"/>
    <x v="85"/>
    <x v="418"/>
    <n v="462.1"/>
    <n v="7"/>
    <x v="1"/>
    <s v="Karan"/>
  </r>
  <r>
    <x v="420"/>
    <x v="173"/>
    <x v="0"/>
    <s v="Delhi"/>
    <x v="1"/>
    <s v="Binder"/>
    <x v="119"/>
    <x v="419"/>
    <n v="74.790000000000006"/>
    <n v="9"/>
    <x v="0"/>
    <s v="Neha"/>
  </r>
  <r>
    <x v="421"/>
    <x v="239"/>
    <x v="0"/>
    <s v="Delhi"/>
    <x v="0"/>
    <s v="Mouse"/>
    <x v="108"/>
    <x v="420"/>
    <n v="619.55999999999995"/>
    <n v="5"/>
    <x v="2"/>
    <s v="Priya"/>
  </r>
  <r>
    <x v="422"/>
    <x v="216"/>
    <x v="0"/>
    <s v="Delhi"/>
    <x v="2"/>
    <s v="Table"/>
    <x v="105"/>
    <x v="421"/>
    <n v="238.86"/>
    <n v="2"/>
    <x v="0"/>
    <s v="Sneha"/>
  </r>
  <r>
    <x v="423"/>
    <x v="44"/>
    <x v="1"/>
    <s v="Tamil Nadu"/>
    <x v="2"/>
    <s v="Bookcase"/>
    <x v="103"/>
    <x v="422"/>
    <n v="492.98"/>
    <n v="8"/>
    <x v="0"/>
    <s v="Sneha"/>
  </r>
  <r>
    <x v="424"/>
    <x v="255"/>
    <x v="3"/>
    <s v="Gujarat"/>
    <x v="0"/>
    <s v="Printer"/>
    <x v="43"/>
    <x v="423"/>
    <n v="19.16"/>
    <n v="3"/>
    <x v="1"/>
    <s v="Amit"/>
  </r>
  <r>
    <x v="425"/>
    <x v="144"/>
    <x v="3"/>
    <s v="Rajasthan"/>
    <x v="2"/>
    <s v="Chair"/>
    <x v="80"/>
    <x v="80"/>
    <n v="1387.41"/>
    <n v="8"/>
    <x v="0"/>
    <s v="Neha"/>
  </r>
  <r>
    <x v="426"/>
    <x v="228"/>
    <x v="0"/>
    <s v="Punjab"/>
    <x v="0"/>
    <s v="Mouse"/>
    <x v="6"/>
    <x v="424"/>
    <n v="222.94"/>
    <n v="10"/>
    <x v="0"/>
    <s v="Anjali"/>
  </r>
  <r>
    <x v="427"/>
    <x v="218"/>
    <x v="1"/>
    <s v="Telangana"/>
    <x v="1"/>
    <s v="Paper"/>
    <x v="25"/>
    <x v="425"/>
    <n v="283.95"/>
    <n v="1"/>
    <x v="1"/>
    <s v="Karan"/>
  </r>
  <r>
    <x v="428"/>
    <x v="256"/>
    <x v="2"/>
    <s v="Bihar"/>
    <x v="1"/>
    <s v="Paper"/>
    <x v="141"/>
    <x v="426"/>
    <n v="581.53"/>
    <n v="6"/>
    <x v="2"/>
    <s v="Sneha"/>
  </r>
  <r>
    <x v="429"/>
    <x v="120"/>
    <x v="3"/>
    <s v="Gujarat"/>
    <x v="1"/>
    <s v="Binder"/>
    <x v="53"/>
    <x v="427"/>
    <n v="254.9"/>
    <n v="2"/>
    <x v="1"/>
    <s v="Sneha"/>
  </r>
  <r>
    <x v="430"/>
    <x v="257"/>
    <x v="1"/>
    <s v="Tamil Nadu"/>
    <x v="1"/>
    <s v="Paper"/>
    <x v="19"/>
    <x v="428"/>
    <n v="473"/>
    <n v="5"/>
    <x v="2"/>
    <s v="Sneha"/>
  </r>
  <r>
    <x v="431"/>
    <x v="76"/>
    <x v="3"/>
    <s v="Rajasthan"/>
    <x v="2"/>
    <s v="Table"/>
    <x v="147"/>
    <x v="429"/>
    <n v="98.73"/>
    <n v="2"/>
    <x v="0"/>
    <s v="Rahul"/>
  </r>
  <r>
    <x v="432"/>
    <x v="179"/>
    <x v="0"/>
    <s v="Haryana"/>
    <x v="2"/>
    <s v="Table"/>
    <x v="32"/>
    <x v="430"/>
    <n v="522.74"/>
    <n v="5"/>
    <x v="2"/>
    <s v="Karan"/>
  </r>
  <r>
    <x v="433"/>
    <x v="146"/>
    <x v="0"/>
    <s v="Punjab"/>
    <x v="0"/>
    <s v="Printer"/>
    <x v="83"/>
    <x v="431"/>
    <n v="235.43"/>
    <n v="8"/>
    <x v="0"/>
    <s v="Amit"/>
  </r>
  <r>
    <x v="434"/>
    <x v="123"/>
    <x v="0"/>
    <s v="Haryana"/>
    <x v="0"/>
    <s v="Laptop"/>
    <x v="74"/>
    <x v="432"/>
    <n v="945.68"/>
    <n v="10"/>
    <x v="1"/>
    <s v="Sneha"/>
  </r>
  <r>
    <x v="435"/>
    <x v="19"/>
    <x v="3"/>
    <s v="Rajasthan"/>
    <x v="2"/>
    <s v="Bookcase"/>
    <x v="156"/>
    <x v="433"/>
    <n v="778.34"/>
    <n v="4"/>
    <x v="2"/>
    <s v="Sneha"/>
  </r>
  <r>
    <x v="436"/>
    <x v="34"/>
    <x v="0"/>
    <s v="Haryana"/>
    <x v="2"/>
    <s v="Table"/>
    <x v="32"/>
    <x v="434"/>
    <n v="115.06"/>
    <n v="3"/>
    <x v="2"/>
    <s v="Anjali"/>
  </r>
  <r>
    <x v="437"/>
    <x v="203"/>
    <x v="0"/>
    <s v="Punjab"/>
    <x v="0"/>
    <s v="Mouse"/>
    <x v="6"/>
    <x v="435"/>
    <n v="378.04"/>
    <n v="10"/>
    <x v="0"/>
    <s v="Anjali"/>
  </r>
  <r>
    <x v="438"/>
    <x v="258"/>
    <x v="3"/>
    <s v="Rajasthan"/>
    <x v="0"/>
    <s v="Mouse"/>
    <x v="139"/>
    <x v="436"/>
    <n v="136.55000000000001"/>
    <n v="1"/>
    <x v="1"/>
    <s v="Rohit"/>
  </r>
  <r>
    <x v="439"/>
    <x v="136"/>
    <x v="0"/>
    <s v="Haryana"/>
    <x v="0"/>
    <s v="Printer"/>
    <x v="15"/>
    <x v="437"/>
    <n v="484.96"/>
    <n v="6"/>
    <x v="2"/>
    <s v="Rohit"/>
  </r>
  <r>
    <x v="440"/>
    <x v="259"/>
    <x v="1"/>
    <s v="Karnataka"/>
    <x v="2"/>
    <s v="Table"/>
    <x v="7"/>
    <x v="438"/>
    <n v="312.94"/>
    <n v="3"/>
    <x v="2"/>
    <s v="Neha"/>
  </r>
  <r>
    <x v="441"/>
    <x v="260"/>
    <x v="3"/>
    <s v="Gujarat"/>
    <x v="2"/>
    <s v="Bookcase"/>
    <x v="156"/>
    <x v="439"/>
    <n v="227.02"/>
    <n v="5"/>
    <x v="0"/>
    <s v="Sneha"/>
  </r>
  <r>
    <x v="442"/>
    <x v="136"/>
    <x v="1"/>
    <s v="Karnataka"/>
    <x v="1"/>
    <s v="Binder"/>
    <x v="23"/>
    <x v="440"/>
    <n v="334.53"/>
    <n v="6"/>
    <x v="2"/>
    <s v="Sneha"/>
  </r>
  <r>
    <x v="443"/>
    <x v="173"/>
    <x v="2"/>
    <s v="West Bengal"/>
    <x v="0"/>
    <s v="Laptop"/>
    <x v="159"/>
    <x v="441"/>
    <n v="312.39999999999998"/>
    <n v="1"/>
    <x v="0"/>
    <s v="Amit"/>
  </r>
  <r>
    <x v="444"/>
    <x v="30"/>
    <x v="0"/>
    <s v="Haryana"/>
    <x v="2"/>
    <s v="Chair"/>
    <x v="11"/>
    <x v="442"/>
    <n v="322.67"/>
    <n v="7"/>
    <x v="1"/>
    <s v="Anjali"/>
  </r>
  <r>
    <x v="445"/>
    <x v="85"/>
    <x v="3"/>
    <s v="Rajasthan"/>
    <x v="2"/>
    <s v="Bookcase"/>
    <x v="64"/>
    <x v="443"/>
    <n v="353.76"/>
    <n v="2"/>
    <x v="1"/>
    <s v="Rahul"/>
  </r>
  <r>
    <x v="446"/>
    <x v="100"/>
    <x v="3"/>
    <s v="Gujarat"/>
    <x v="2"/>
    <s v="Bookcase"/>
    <x v="154"/>
    <x v="444"/>
    <n v="1026.75"/>
    <n v="4"/>
    <x v="1"/>
    <s v="Rahul"/>
  </r>
  <r>
    <x v="447"/>
    <x v="127"/>
    <x v="1"/>
    <s v="Tamil Nadu"/>
    <x v="2"/>
    <s v="Chair"/>
    <x v="70"/>
    <x v="445"/>
    <n v="914.52"/>
    <n v="7"/>
    <x v="2"/>
    <s v="Rahul"/>
  </r>
  <r>
    <x v="448"/>
    <x v="14"/>
    <x v="3"/>
    <s v="Maharashtra"/>
    <x v="0"/>
    <s v="Printer"/>
    <x v="5"/>
    <x v="446"/>
    <n v="1206.53"/>
    <n v="6"/>
    <x v="0"/>
    <s v="Neha"/>
  </r>
  <r>
    <x v="449"/>
    <x v="261"/>
    <x v="1"/>
    <s v="Karnataka"/>
    <x v="0"/>
    <s v="Printer"/>
    <x v="87"/>
    <x v="447"/>
    <n v="677.53"/>
    <n v="3"/>
    <x v="0"/>
    <s v="Priya"/>
  </r>
  <r>
    <x v="450"/>
    <x v="238"/>
    <x v="1"/>
    <s v="Tamil Nadu"/>
    <x v="2"/>
    <s v="Table"/>
    <x v="33"/>
    <x v="448"/>
    <n v="451.57"/>
    <n v="1"/>
    <x v="0"/>
    <s v="Anjali"/>
  </r>
  <r>
    <x v="451"/>
    <x v="49"/>
    <x v="1"/>
    <s v="Telangana"/>
    <x v="0"/>
    <s v="Printer"/>
    <x v="116"/>
    <x v="449"/>
    <n v="548.65"/>
    <n v="10"/>
    <x v="1"/>
    <s v="Rahul"/>
  </r>
  <r>
    <x v="452"/>
    <x v="262"/>
    <x v="3"/>
    <s v="Gujarat"/>
    <x v="1"/>
    <s v="Paper"/>
    <x v="25"/>
    <x v="450"/>
    <n v="1125.6099999999999"/>
    <n v="4"/>
    <x v="1"/>
    <s v="Amit"/>
  </r>
  <r>
    <x v="453"/>
    <x v="225"/>
    <x v="0"/>
    <s v="Delhi"/>
    <x v="2"/>
    <s v="Table"/>
    <x v="98"/>
    <x v="451"/>
    <n v="151.01"/>
    <n v="8"/>
    <x v="0"/>
    <s v="Sneha"/>
  </r>
  <r>
    <x v="454"/>
    <x v="96"/>
    <x v="0"/>
    <s v="Delhi"/>
    <x v="0"/>
    <s v="Mouse"/>
    <x v="145"/>
    <x v="452"/>
    <n v="571.41"/>
    <n v="1"/>
    <x v="2"/>
    <s v="Sneha"/>
  </r>
  <r>
    <x v="455"/>
    <x v="40"/>
    <x v="3"/>
    <s v="Gujarat"/>
    <x v="0"/>
    <s v="Mouse"/>
    <x v="139"/>
    <x v="453"/>
    <n v="66.069999999999993"/>
    <n v="8"/>
    <x v="1"/>
    <s v="Karan"/>
  </r>
  <r>
    <x v="456"/>
    <x v="169"/>
    <x v="2"/>
    <s v="Bihar"/>
    <x v="0"/>
    <s v="Mouse"/>
    <x v="114"/>
    <x v="454"/>
    <n v="352.26"/>
    <n v="8"/>
    <x v="0"/>
    <s v="Amit"/>
  </r>
  <r>
    <x v="457"/>
    <x v="30"/>
    <x v="2"/>
    <s v="Odisha"/>
    <x v="2"/>
    <s v="Chair"/>
    <x v="22"/>
    <x v="455"/>
    <n v="875.82"/>
    <n v="10"/>
    <x v="2"/>
    <s v="Neha"/>
  </r>
  <r>
    <x v="458"/>
    <x v="79"/>
    <x v="2"/>
    <s v="West Bengal"/>
    <x v="2"/>
    <s v="Chair"/>
    <x v="11"/>
    <x v="456"/>
    <n v="251.95"/>
    <n v="2"/>
    <x v="2"/>
    <s v="Priya"/>
  </r>
  <r>
    <x v="459"/>
    <x v="95"/>
    <x v="1"/>
    <s v="Karnataka"/>
    <x v="2"/>
    <s v="Table"/>
    <x v="7"/>
    <x v="457"/>
    <n v="59.3"/>
    <n v="3"/>
    <x v="1"/>
    <s v="Rahul"/>
  </r>
  <r>
    <x v="460"/>
    <x v="47"/>
    <x v="1"/>
    <s v="Telangana"/>
    <x v="0"/>
    <s v="Printer"/>
    <x v="160"/>
    <x v="458"/>
    <n v="316.56"/>
    <n v="8"/>
    <x v="1"/>
    <s v="Karan"/>
  </r>
  <r>
    <x v="461"/>
    <x v="73"/>
    <x v="3"/>
    <s v="Gujarat"/>
    <x v="0"/>
    <s v="Mouse"/>
    <x v="17"/>
    <x v="459"/>
    <n v="751.78"/>
    <n v="3"/>
    <x v="0"/>
    <s v="Neha"/>
  </r>
  <r>
    <x v="462"/>
    <x v="39"/>
    <x v="3"/>
    <s v="Gujarat"/>
    <x v="1"/>
    <s v="Paper"/>
    <x v="128"/>
    <x v="460"/>
    <n v="41.76"/>
    <n v="2"/>
    <x v="0"/>
    <s v="Amit"/>
  </r>
  <r>
    <x v="463"/>
    <x v="5"/>
    <x v="2"/>
    <s v="Odisha"/>
    <x v="1"/>
    <s v="Paper"/>
    <x v="143"/>
    <x v="461"/>
    <n v="902.31"/>
    <n v="1"/>
    <x v="0"/>
    <s v="Sneha"/>
  </r>
  <r>
    <x v="464"/>
    <x v="263"/>
    <x v="1"/>
    <s v="Karnataka"/>
    <x v="2"/>
    <s v="Table"/>
    <x v="9"/>
    <x v="462"/>
    <n v="618.12"/>
    <n v="7"/>
    <x v="0"/>
    <s v="Rahul"/>
  </r>
  <r>
    <x v="465"/>
    <x v="264"/>
    <x v="3"/>
    <s v="Rajasthan"/>
    <x v="1"/>
    <s v="Binder"/>
    <x v="119"/>
    <x v="463"/>
    <n v="1124.58"/>
    <n v="4"/>
    <x v="1"/>
    <s v="Amit"/>
  </r>
  <r>
    <x v="466"/>
    <x v="265"/>
    <x v="1"/>
    <s v="Karnataka"/>
    <x v="0"/>
    <s v="Printer"/>
    <x v="4"/>
    <x v="464"/>
    <n v="1058.95"/>
    <n v="1"/>
    <x v="2"/>
    <s v="Rohit"/>
  </r>
  <r>
    <x v="467"/>
    <x v="27"/>
    <x v="0"/>
    <s v="Delhi"/>
    <x v="2"/>
    <s v="Chair"/>
    <x v="161"/>
    <x v="465"/>
    <n v="257.12"/>
    <n v="6"/>
    <x v="0"/>
    <s v="Priya"/>
  </r>
  <r>
    <x v="468"/>
    <x v="69"/>
    <x v="1"/>
    <s v="Karnataka"/>
    <x v="0"/>
    <s v="Printer"/>
    <x v="116"/>
    <x v="466"/>
    <n v="624.91999999999996"/>
    <n v="7"/>
    <x v="2"/>
    <s v="Rahul"/>
  </r>
  <r>
    <x v="469"/>
    <x v="117"/>
    <x v="1"/>
    <s v="Telangana"/>
    <x v="1"/>
    <s v="Paper"/>
    <x v="89"/>
    <x v="467"/>
    <n v="1134.68"/>
    <n v="8"/>
    <x v="2"/>
    <s v="Rohit"/>
  </r>
  <r>
    <x v="470"/>
    <x v="112"/>
    <x v="3"/>
    <s v="Gujarat"/>
    <x v="2"/>
    <s v="Bookcase"/>
    <x v="86"/>
    <x v="468"/>
    <n v="444.53"/>
    <n v="10"/>
    <x v="1"/>
    <s v="Amit"/>
  </r>
  <r>
    <x v="471"/>
    <x v="266"/>
    <x v="1"/>
    <s v="Tamil Nadu"/>
    <x v="1"/>
    <s v="Pen"/>
    <x v="37"/>
    <x v="469"/>
    <n v="476.44"/>
    <n v="3"/>
    <x v="1"/>
    <s v="Amit"/>
  </r>
  <r>
    <x v="472"/>
    <x v="267"/>
    <x v="2"/>
    <s v="Odisha"/>
    <x v="0"/>
    <s v="Mouse"/>
    <x v="139"/>
    <x v="470"/>
    <n v="553.88"/>
    <n v="4"/>
    <x v="2"/>
    <s v="Amit"/>
  </r>
  <r>
    <x v="473"/>
    <x v="103"/>
    <x v="3"/>
    <s v="Rajasthan"/>
    <x v="1"/>
    <s v="Pen"/>
    <x v="132"/>
    <x v="471"/>
    <n v="568.02"/>
    <n v="5"/>
    <x v="2"/>
    <s v="Rohit"/>
  </r>
  <r>
    <x v="474"/>
    <x v="206"/>
    <x v="1"/>
    <s v="Karnataka"/>
    <x v="1"/>
    <s v="Pen"/>
    <x v="24"/>
    <x v="472"/>
    <n v="345.68"/>
    <n v="7"/>
    <x v="1"/>
    <s v="Priya"/>
  </r>
  <r>
    <x v="475"/>
    <x v="209"/>
    <x v="3"/>
    <s v="Maharashtra"/>
    <x v="1"/>
    <s v="Paper"/>
    <x v="111"/>
    <x v="473"/>
    <n v="311.43"/>
    <n v="6"/>
    <x v="0"/>
    <s v="Rohit"/>
  </r>
  <r>
    <x v="476"/>
    <x v="199"/>
    <x v="0"/>
    <s v="Haryana"/>
    <x v="0"/>
    <s v="Printer"/>
    <x v="162"/>
    <x v="474"/>
    <n v="492.28"/>
    <n v="3"/>
    <x v="1"/>
    <s v="Priya"/>
  </r>
  <r>
    <x v="477"/>
    <x v="73"/>
    <x v="0"/>
    <s v="Delhi"/>
    <x v="0"/>
    <s v="Printer"/>
    <x v="87"/>
    <x v="475"/>
    <n v="561.16"/>
    <n v="2"/>
    <x v="0"/>
    <s v="Karan"/>
  </r>
  <r>
    <x v="478"/>
    <x v="268"/>
    <x v="2"/>
    <s v="Bihar"/>
    <x v="2"/>
    <s v="Chair"/>
    <x v="70"/>
    <x v="476"/>
    <n v="74.290000000000006"/>
    <n v="3"/>
    <x v="0"/>
    <s v="Sneha"/>
  </r>
  <r>
    <x v="479"/>
    <x v="236"/>
    <x v="0"/>
    <s v="Punjab"/>
    <x v="2"/>
    <s v="Table"/>
    <x v="68"/>
    <x v="477"/>
    <n v="928.81"/>
    <n v="2"/>
    <x v="2"/>
    <s v="Karan"/>
  </r>
  <r>
    <x v="480"/>
    <x v="269"/>
    <x v="3"/>
    <s v="Rajasthan"/>
    <x v="0"/>
    <s v="Laptop"/>
    <x v="163"/>
    <x v="478"/>
    <n v="216.93"/>
    <n v="10"/>
    <x v="1"/>
    <s v="Rahul"/>
  </r>
  <r>
    <x v="481"/>
    <x v="140"/>
    <x v="2"/>
    <s v="West Bengal"/>
    <x v="1"/>
    <s v="Paper"/>
    <x v="49"/>
    <x v="479"/>
    <n v="448.8"/>
    <n v="4"/>
    <x v="0"/>
    <s v="Karan"/>
  </r>
  <r>
    <x v="482"/>
    <x v="270"/>
    <x v="0"/>
    <s v="Delhi"/>
    <x v="0"/>
    <s v="Mouse"/>
    <x v="100"/>
    <x v="480"/>
    <n v="484.53"/>
    <n v="7"/>
    <x v="1"/>
    <s v="Sneha"/>
  </r>
  <r>
    <x v="483"/>
    <x v="74"/>
    <x v="1"/>
    <s v="Telangana"/>
    <x v="0"/>
    <s v="Laptop"/>
    <x v="20"/>
    <x v="481"/>
    <n v="886.25"/>
    <n v="9"/>
    <x v="2"/>
    <s v="Anjali"/>
  </r>
  <r>
    <x v="484"/>
    <x v="104"/>
    <x v="2"/>
    <s v="Bihar"/>
    <x v="0"/>
    <s v="Laptop"/>
    <x v="0"/>
    <x v="482"/>
    <n v="1392.42"/>
    <n v="10"/>
    <x v="2"/>
    <s v="Rahul"/>
  </r>
  <r>
    <x v="485"/>
    <x v="91"/>
    <x v="1"/>
    <s v="Karnataka"/>
    <x v="1"/>
    <s v="Binder"/>
    <x v="144"/>
    <x v="483"/>
    <n v="85.7"/>
    <n v="10"/>
    <x v="0"/>
    <s v="Karan"/>
  </r>
  <r>
    <x v="486"/>
    <x v="42"/>
    <x v="0"/>
    <s v="Delhi"/>
    <x v="0"/>
    <s v="Laptop"/>
    <x v="58"/>
    <x v="484"/>
    <n v="669.41"/>
    <n v="5"/>
    <x v="2"/>
    <s v="Rohit"/>
  </r>
  <r>
    <x v="487"/>
    <x v="271"/>
    <x v="3"/>
    <s v="Maharashtra"/>
    <x v="0"/>
    <s v="Laptop"/>
    <x v="96"/>
    <x v="485"/>
    <n v="182.7"/>
    <n v="4"/>
    <x v="1"/>
    <s v="Karan"/>
  </r>
  <r>
    <x v="488"/>
    <x v="272"/>
    <x v="1"/>
    <s v="Telangana"/>
    <x v="2"/>
    <s v="Bookcase"/>
    <x v="122"/>
    <x v="486"/>
    <n v="330.64"/>
    <n v="8"/>
    <x v="2"/>
    <s v="Rahul"/>
  </r>
  <r>
    <x v="489"/>
    <x v="273"/>
    <x v="0"/>
    <s v="Haryana"/>
    <x v="2"/>
    <s v="Chair"/>
    <x v="161"/>
    <x v="487"/>
    <n v="548.66999999999996"/>
    <n v="6"/>
    <x v="1"/>
    <s v="Priya"/>
  </r>
  <r>
    <x v="490"/>
    <x v="13"/>
    <x v="0"/>
    <s v="Haryana"/>
    <x v="0"/>
    <s v="Laptop"/>
    <x v="127"/>
    <x v="488"/>
    <n v="51.76"/>
    <n v="6"/>
    <x v="1"/>
    <s v="Priya"/>
  </r>
  <r>
    <x v="491"/>
    <x v="195"/>
    <x v="0"/>
    <s v="Delhi"/>
    <x v="0"/>
    <s v="Laptop"/>
    <x v="134"/>
    <x v="489"/>
    <n v="610.05999999999995"/>
    <n v="10"/>
    <x v="0"/>
    <s v="Rohit"/>
  </r>
  <r>
    <x v="492"/>
    <x v="202"/>
    <x v="0"/>
    <s v="Haryana"/>
    <x v="0"/>
    <s v="Printer"/>
    <x v="116"/>
    <x v="490"/>
    <n v="789.72"/>
    <n v="7"/>
    <x v="1"/>
    <s v="Priya"/>
  </r>
  <r>
    <x v="493"/>
    <x v="59"/>
    <x v="2"/>
    <s v="West Bengal"/>
    <x v="0"/>
    <s v="Printer"/>
    <x v="135"/>
    <x v="491"/>
    <n v="90.68"/>
    <n v="2"/>
    <x v="1"/>
    <s v="Rohit"/>
  </r>
  <r>
    <x v="494"/>
    <x v="125"/>
    <x v="0"/>
    <s v="Delhi"/>
    <x v="2"/>
    <s v="Chair"/>
    <x v="56"/>
    <x v="492"/>
    <n v="558.51"/>
    <n v="1"/>
    <x v="2"/>
    <s v="Sneha"/>
  </r>
  <r>
    <x v="495"/>
    <x v="121"/>
    <x v="1"/>
    <s v="Karnataka"/>
    <x v="2"/>
    <s v="Chair"/>
    <x v="18"/>
    <x v="493"/>
    <n v="85.29"/>
    <n v="1"/>
    <x v="0"/>
    <s v="Rahul"/>
  </r>
  <r>
    <x v="496"/>
    <x v="156"/>
    <x v="1"/>
    <s v="Telangana"/>
    <x v="0"/>
    <s v="Mouse"/>
    <x v="78"/>
    <x v="494"/>
    <n v="734.98"/>
    <n v="8"/>
    <x v="1"/>
    <s v="Neha"/>
  </r>
  <r>
    <x v="497"/>
    <x v="256"/>
    <x v="1"/>
    <s v="Tamil Nadu"/>
    <x v="2"/>
    <s v="Table"/>
    <x v="142"/>
    <x v="495"/>
    <n v="717.76"/>
    <n v="8"/>
    <x v="2"/>
    <s v="Amit"/>
  </r>
  <r>
    <x v="498"/>
    <x v="167"/>
    <x v="2"/>
    <s v="West Bengal"/>
    <x v="1"/>
    <s v="Binder"/>
    <x v="164"/>
    <x v="496"/>
    <n v="687.64"/>
    <n v="1"/>
    <x v="0"/>
    <s v="Anjali"/>
  </r>
  <r>
    <x v="499"/>
    <x v="209"/>
    <x v="3"/>
    <s v="Gujarat"/>
    <x v="0"/>
    <s v="Mouse"/>
    <x v="26"/>
    <x v="497"/>
    <n v="1609.91"/>
    <n v="7"/>
    <x v="0"/>
    <s v="Rahul"/>
  </r>
  <r>
    <x v="500"/>
    <x v="274"/>
    <x v="3"/>
    <s v="Maharashtra"/>
    <x v="0"/>
    <s v="Printer"/>
    <x v="87"/>
    <x v="498"/>
    <n v="53.34"/>
    <n v="4"/>
    <x v="1"/>
    <s v="Sneha"/>
  </r>
  <r>
    <x v="501"/>
    <x v="275"/>
    <x v="2"/>
    <s v="West Bengal"/>
    <x v="2"/>
    <s v="Bookcase"/>
    <x v="154"/>
    <x v="499"/>
    <n v="446.48"/>
    <n v="2"/>
    <x v="0"/>
    <s v="Rahul"/>
  </r>
  <r>
    <x v="502"/>
    <x v="98"/>
    <x v="0"/>
    <s v="Punjab"/>
    <x v="2"/>
    <s v="Table"/>
    <x v="147"/>
    <x v="500"/>
    <n v="866.07"/>
    <n v="7"/>
    <x v="2"/>
    <s v="Rahul"/>
  </r>
  <r>
    <x v="503"/>
    <x v="226"/>
    <x v="1"/>
    <s v="Tamil Nadu"/>
    <x v="2"/>
    <s v="Bookcase"/>
    <x v="154"/>
    <x v="501"/>
    <n v="255.91"/>
    <n v="8"/>
    <x v="1"/>
    <s v="Rohit"/>
  </r>
  <r>
    <x v="504"/>
    <x v="276"/>
    <x v="2"/>
    <s v="Bihar"/>
    <x v="2"/>
    <s v="Chair"/>
    <x v="165"/>
    <x v="502"/>
    <n v="889.32"/>
    <n v="5"/>
    <x v="2"/>
    <s v="Rahul"/>
  </r>
  <r>
    <x v="505"/>
    <x v="142"/>
    <x v="1"/>
    <s v="Telangana"/>
    <x v="2"/>
    <s v="Bookcase"/>
    <x v="166"/>
    <x v="503"/>
    <n v="249.44"/>
    <n v="3"/>
    <x v="0"/>
    <s v="Rahul"/>
  </r>
  <r>
    <x v="506"/>
    <x v="102"/>
    <x v="2"/>
    <s v="Odisha"/>
    <x v="1"/>
    <s v="Paper"/>
    <x v="49"/>
    <x v="504"/>
    <n v="209.55"/>
    <n v="8"/>
    <x v="2"/>
    <s v="Sneha"/>
  </r>
  <r>
    <x v="507"/>
    <x v="166"/>
    <x v="0"/>
    <s v="Punjab"/>
    <x v="1"/>
    <s v="Binder"/>
    <x v="75"/>
    <x v="505"/>
    <n v="375.9"/>
    <n v="4"/>
    <x v="1"/>
    <s v="Neha"/>
  </r>
  <r>
    <x v="508"/>
    <x v="261"/>
    <x v="1"/>
    <s v="Tamil Nadu"/>
    <x v="1"/>
    <s v="Paper"/>
    <x v="167"/>
    <x v="506"/>
    <n v="40.200000000000003"/>
    <n v="10"/>
    <x v="1"/>
    <s v="Sneha"/>
  </r>
  <r>
    <x v="509"/>
    <x v="277"/>
    <x v="0"/>
    <s v="Punjab"/>
    <x v="1"/>
    <s v="Paper"/>
    <x v="106"/>
    <x v="507"/>
    <n v="281.70999999999998"/>
    <n v="3"/>
    <x v="0"/>
    <s v="Rohit"/>
  </r>
  <r>
    <x v="510"/>
    <x v="278"/>
    <x v="2"/>
    <s v="Odisha"/>
    <x v="2"/>
    <s v="Table"/>
    <x v="168"/>
    <x v="508"/>
    <n v="930.05"/>
    <n v="8"/>
    <x v="2"/>
    <s v="Karan"/>
  </r>
  <r>
    <x v="511"/>
    <x v="105"/>
    <x v="0"/>
    <s v="Delhi"/>
    <x v="2"/>
    <s v="Chair"/>
    <x v="77"/>
    <x v="509"/>
    <n v="86.61"/>
    <n v="10"/>
    <x v="1"/>
    <s v="Amit"/>
  </r>
  <r>
    <x v="512"/>
    <x v="122"/>
    <x v="3"/>
    <s v="Rajasthan"/>
    <x v="0"/>
    <s v="Printer"/>
    <x v="116"/>
    <x v="510"/>
    <n v="249.54"/>
    <n v="3"/>
    <x v="2"/>
    <s v="Anjali"/>
  </r>
  <r>
    <x v="513"/>
    <x v="193"/>
    <x v="2"/>
    <s v="West Bengal"/>
    <x v="0"/>
    <s v="Mouse"/>
    <x v="113"/>
    <x v="511"/>
    <n v="82.58"/>
    <n v="1"/>
    <x v="2"/>
    <s v="Anjali"/>
  </r>
  <r>
    <x v="514"/>
    <x v="49"/>
    <x v="1"/>
    <s v="Telangana"/>
    <x v="2"/>
    <s v="Chair"/>
    <x v="77"/>
    <x v="512"/>
    <n v="1034.22"/>
    <n v="8"/>
    <x v="1"/>
    <s v="Neha"/>
  </r>
  <r>
    <x v="515"/>
    <x v="161"/>
    <x v="3"/>
    <s v="Rajasthan"/>
    <x v="0"/>
    <s v="Printer"/>
    <x v="57"/>
    <x v="513"/>
    <n v="1241.04"/>
    <n v="9"/>
    <x v="1"/>
    <s v="Rahul"/>
  </r>
  <r>
    <x v="516"/>
    <x v="279"/>
    <x v="2"/>
    <s v="West Bengal"/>
    <x v="2"/>
    <s v="Chair"/>
    <x v="169"/>
    <x v="514"/>
    <n v="235.58"/>
    <n v="4"/>
    <x v="1"/>
    <s v="Amit"/>
  </r>
  <r>
    <x v="517"/>
    <x v="268"/>
    <x v="0"/>
    <s v="Punjab"/>
    <x v="2"/>
    <s v="Bookcase"/>
    <x v="64"/>
    <x v="515"/>
    <n v="281.51"/>
    <n v="7"/>
    <x v="2"/>
    <s v="Sneha"/>
  </r>
  <r>
    <x v="518"/>
    <x v="278"/>
    <x v="1"/>
    <s v="Tamil Nadu"/>
    <x v="1"/>
    <s v="Paper"/>
    <x v="106"/>
    <x v="516"/>
    <n v="1093.01"/>
    <n v="9"/>
    <x v="1"/>
    <s v="Neha"/>
  </r>
  <r>
    <x v="519"/>
    <x v="83"/>
    <x v="1"/>
    <s v="Tamil Nadu"/>
    <x v="0"/>
    <s v="Laptop"/>
    <x v="0"/>
    <x v="517"/>
    <n v="395.12"/>
    <n v="8"/>
    <x v="1"/>
    <s v="Amit"/>
  </r>
  <r>
    <x v="520"/>
    <x v="100"/>
    <x v="1"/>
    <s v="Karnataka"/>
    <x v="2"/>
    <s v="Chair"/>
    <x v="125"/>
    <x v="518"/>
    <n v="299.92"/>
    <n v="1"/>
    <x v="0"/>
    <s v="Rohit"/>
  </r>
  <r>
    <x v="521"/>
    <x v="190"/>
    <x v="0"/>
    <s v="Punjab"/>
    <x v="2"/>
    <s v="Bookcase"/>
    <x v="156"/>
    <x v="519"/>
    <n v="542.51"/>
    <n v="6"/>
    <x v="2"/>
    <s v="Karan"/>
  </r>
  <r>
    <x v="522"/>
    <x v="129"/>
    <x v="1"/>
    <s v="Telangana"/>
    <x v="0"/>
    <s v="Mouse"/>
    <x v="13"/>
    <x v="520"/>
    <n v="76.430000000000007"/>
    <n v="10"/>
    <x v="0"/>
    <s v="Anjali"/>
  </r>
  <r>
    <x v="523"/>
    <x v="176"/>
    <x v="0"/>
    <s v="Delhi"/>
    <x v="0"/>
    <s v="Printer"/>
    <x v="43"/>
    <x v="521"/>
    <n v="754.24"/>
    <n v="4"/>
    <x v="2"/>
    <s v="Sneha"/>
  </r>
  <r>
    <x v="524"/>
    <x v="210"/>
    <x v="0"/>
    <s v="Punjab"/>
    <x v="2"/>
    <s v="Table"/>
    <x v="147"/>
    <x v="522"/>
    <n v="210.58"/>
    <n v="9"/>
    <x v="0"/>
    <s v="Sneha"/>
  </r>
  <r>
    <x v="525"/>
    <x v="280"/>
    <x v="1"/>
    <s v="Telangana"/>
    <x v="2"/>
    <s v="Chair"/>
    <x v="40"/>
    <x v="523"/>
    <n v="690.19"/>
    <n v="7"/>
    <x v="1"/>
    <s v="Karan"/>
  </r>
  <r>
    <x v="526"/>
    <x v="149"/>
    <x v="0"/>
    <s v="Punjab"/>
    <x v="2"/>
    <s v="Chair"/>
    <x v="80"/>
    <x v="524"/>
    <n v="768.89"/>
    <n v="1"/>
    <x v="1"/>
    <s v="Neha"/>
  </r>
  <r>
    <x v="527"/>
    <x v="75"/>
    <x v="0"/>
    <s v="Punjab"/>
    <x v="2"/>
    <s v="Table"/>
    <x v="29"/>
    <x v="525"/>
    <n v="275.87"/>
    <n v="4"/>
    <x v="0"/>
    <s v="Amit"/>
  </r>
  <r>
    <x v="528"/>
    <x v="215"/>
    <x v="0"/>
    <s v="Punjab"/>
    <x v="0"/>
    <s v="Laptop"/>
    <x v="67"/>
    <x v="526"/>
    <n v="1453.71"/>
    <n v="3"/>
    <x v="2"/>
    <s v="Sneha"/>
  </r>
  <r>
    <x v="529"/>
    <x v="79"/>
    <x v="1"/>
    <s v="Karnataka"/>
    <x v="1"/>
    <s v="Binder"/>
    <x v="136"/>
    <x v="527"/>
    <n v="46"/>
    <n v="1"/>
    <x v="1"/>
    <s v="Karan"/>
  </r>
  <r>
    <x v="530"/>
    <x v="140"/>
    <x v="1"/>
    <s v="Telangana"/>
    <x v="2"/>
    <s v="Table"/>
    <x v="97"/>
    <x v="528"/>
    <n v="71.39"/>
    <n v="9"/>
    <x v="0"/>
    <s v="Rohit"/>
  </r>
  <r>
    <x v="531"/>
    <x v="154"/>
    <x v="0"/>
    <s v="Haryana"/>
    <x v="0"/>
    <s v="Laptop"/>
    <x v="48"/>
    <x v="529"/>
    <n v="1349.17"/>
    <n v="6"/>
    <x v="0"/>
    <s v="Rahul"/>
  </r>
  <r>
    <x v="532"/>
    <x v="83"/>
    <x v="2"/>
    <s v="Odisha"/>
    <x v="0"/>
    <s v="Mouse"/>
    <x v="17"/>
    <x v="530"/>
    <n v="503.54"/>
    <n v="3"/>
    <x v="2"/>
    <s v="Anjali"/>
  </r>
  <r>
    <x v="533"/>
    <x v="210"/>
    <x v="2"/>
    <s v="Bihar"/>
    <x v="2"/>
    <s v="Chair"/>
    <x v="165"/>
    <x v="531"/>
    <n v="204.51"/>
    <n v="4"/>
    <x v="2"/>
    <s v="Rahul"/>
  </r>
  <r>
    <x v="534"/>
    <x v="219"/>
    <x v="2"/>
    <s v="Odisha"/>
    <x v="2"/>
    <s v="Table"/>
    <x v="131"/>
    <x v="532"/>
    <n v="318.57"/>
    <n v="10"/>
    <x v="1"/>
    <s v="Priya"/>
  </r>
  <r>
    <x v="535"/>
    <x v="281"/>
    <x v="0"/>
    <s v="Punjab"/>
    <x v="1"/>
    <s v="Paper"/>
    <x v="95"/>
    <x v="533"/>
    <n v="1055.27"/>
    <n v="4"/>
    <x v="0"/>
    <s v="Priya"/>
  </r>
  <r>
    <x v="536"/>
    <x v="244"/>
    <x v="2"/>
    <s v="West Bengal"/>
    <x v="2"/>
    <s v="Bookcase"/>
    <x v="103"/>
    <x v="534"/>
    <n v="380.28"/>
    <n v="9"/>
    <x v="1"/>
    <s v="Rohit"/>
  </r>
  <r>
    <x v="537"/>
    <x v="50"/>
    <x v="3"/>
    <s v="Rajasthan"/>
    <x v="2"/>
    <s v="Bookcase"/>
    <x v="122"/>
    <x v="535"/>
    <n v="71.650000000000006"/>
    <n v="7"/>
    <x v="2"/>
    <s v="Rohit"/>
  </r>
  <r>
    <x v="538"/>
    <x v="256"/>
    <x v="0"/>
    <s v="Haryana"/>
    <x v="1"/>
    <s v="Pen"/>
    <x v="138"/>
    <x v="536"/>
    <n v="46.23"/>
    <n v="8"/>
    <x v="1"/>
    <s v="Priya"/>
  </r>
  <r>
    <x v="539"/>
    <x v="282"/>
    <x v="1"/>
    <s v="Karnataka"/>
    <x v="1"/>
    <s v="Binder"/>
    <x v="30"/>
    <x v="537"/>
    <n v="581.52"/>
    <n v="5"/>
    <x v="1"/>
    <s v="Priya"/>
  </r>
  <r>
    <x v="540"/>
    <x v="110"/>
    <x v="1"/>
    <s v="Telangana"/>
    <x v="2"/>
    <s v="Table"/>
    <x v="61"/>
    <x v="538"/>
    <n v="180.77"/>
    <n v="7"/>
    <x v="1"/>
    <s v="Rahul"/>
  </r>
  <r>
    <x v="541"/>
    <x v="186"/>
    <x v="0"/>
    <s v="Delhi"/>
    <x v="2"/>
    <s v="Chair"/>
    <x v="169"/>
    <x v="539"/>
    <n v="1352.49"/>
    <n v="7"/>
    <x v="2"/>
    <s v="Neha"/>
  </r>
  <r>
    <x v="542"/>
    <x v="204"/>
    <x v="3"/>
    <s v="Gujarat"/>
    <x v="0"/>
    <s v="Laptop"/>
    <x v="31"/>
    <x v="540"/>
    <n v="477.12"/>
    <n v="8"/>
    <x v="0"/>
    <s v="Neha"/>
  </r>
  <r>
    <x v="543"/>
    <x v="87"/>
    <x v="0"/>
    <s v="Punjab"/>
    <x v="2"/>
    <s v="Chair"/>
    <x v="125"/>
    <x v="541"/>
    <n v="694.7"/>
    <n v="3"/>
    <x v="1"/>
    <s v="Amit"/>
  </r>
  <r>
    <x v="544"/>
    <x v="37"/>
    <x v="0"/>
    <s v="Punjab"/>
    <x v="0"/>
    <s v="Printer"/>
    <x v="162"/>
    <x v="542"/>
    <n v="64.5"/>
    <n v="10"/>
    <x v="0"/>
    <s v="Amit"/>
  </r>
  <r>
    <x v="545"/>
    <x v="131"/>
    <x v="0"/>
    <s v="Delhi"/>
    <x v="2"/>
    <s v="Chair"/>
    <x v="120"/>
    <x v="543"/>
    <n v="462.62"/>
    <n v="10"/>
    <x v="2"/>
    <s v="Anjali"/>
  </r>
  <r>
    <x v="546"/>
    <x v="164"/>
    <x v="3"/>
    <s v="Rajasthan"/>
    <x v="0"/>
    <s v="Printer"/>
    <x v="66"/>
    <x v="544"/>
    <n v="733.11"/>
    <n v="4"/>
    <x v="1"/>
    <s v="Anjali"/>
  </r>
  <r>
    <x v="547"/>
    <x v="283"/>
    <x v="0"/>
    <s v="Punjab"/>
    <x v="2"/>
    <s v="Table"/>
    <x v="61"/>
    <x v="545"/>
    <n v="688.87"/>
    <n v="6"/>
    <x v="2"/>
    <s v="Sneha"/>
  </r>
  <r>
    <x v="548"/>
    <x v="121"/>
    <x v="0"/>
    <s v="Haryana"/>
    <x v="0"/>
    <s v="Printer"/>
    <x v="43"/>
    <x v="546"/>
    <n v="191.43"/>
    <n v="5"/>
    <x v="1"/>
    <s v="Sneha"/>
  </r>
  <r>
    <x v="549"/>
    <x v="136"/>
    <x v="0"/>
    <s v="Haryana"/>
    <x v="0"/>
    <s v="Mouse"/>
    <x v="123"/>
    <x v="547"/>
    <n v="112.24"/>
    <n v="1"/>
    <x v="0"/>
    <s v="Sneha"/>
  </r>
  <r>
    <x v="550"/>
    <x v="20"/>
    <x v="3"/>
    <s v="Maharashtra"/>
    <x v="1"/>
    <s v="Pen"/>
    <x v="28"/>
    <x v="548"/>
    <n v="79.709999999999994"/>
    <n v="5"/>
    <x v="1"/>
    <s v="Amit"/>
  </r>
  <r>
    <x v="551"/>
    <x v="271"/>
    <x v="2"/>
    <s v="West Bengal"/>
    <x v="0"/>
    <s v="Laptop"/>
    <x v="91"/>
    <x v="549"/>
    <n v="356.61"/>
    <n v="8"/>
    <x v="1"/>
    <s v="Karan"/>
  </r>
  <r>
    <x v="552"/>
    <x v="150"/>
    <x v="0"/>
    <s v="Delhi"/>
    <x v="2"/>
    <s v="Chair"/>
    <x v="18"/>
    <x v="550"/>
    <n v="73.02"/>
    <n v="9"/>
    <x v="2"/>
    <s v="Rahul"/>
  </r>
  <r>
    <x v="553"/>
    <x v="284"/>
    <x v="2"/>
    <s v="West Bengal"/>
    <x v="0"/>
    <s v="Mouse"/>
    <x v="3"/>
    <x v="551"/>
    <n v="147.86000000000001"/>
    <n v="6"/>
    <x v="2"/>
    <s v="Sneha"/>
  </r>
  <r>
    <x v="554"/>
    <x v="285"/>
    <x v="2"/>
    <s v="Bihar"/>
    <x v="1"/>
    <s v="Binder"/>
    <x v="44"/>
    <x v="552"/>
    <n v="310.45"/>
    <n v="3"/>
    <x v="1"/>
    <s v="Anjali"/>
  </r>
  <r>
    <x v="555"/>
    <x v="52"/>
    <x v="0"/>
    <s v="Delhi"/>
    <x v="0"/>
    <s v="Mouse"/>
    <x v="170"/>
    <x v="553"/>
    <n v="1390.57"/>
    <n v="10"/>
    <x v="1"/>
    <s v="Neha"/>
  </r>
  <r>
    <x v="556"/>
    <x v="286"/>
    <x v="2"/>
    <s v="Odisha"/>
    <x v="1"/>
    <s v="Paper"/>
    <x v="89"/>
    <x v="554"/>
    <n v="446.71"/>
    <n v="5"/>
    <x v="2"/>
    <s v="Rohit"/>
  </r>
  <r>
    <x v="557"/>
    <x v="33"/>
    <x v="3"/>
    <s v="Maharashtra"/>
    <x v="1"/>
    <s v="Paper"/>
    <x v="89"/>
    <x v="555"/>
    <n v="1082.47"/>
    <n v="2"/>
    <x v="2"/>
    <s v="Neha"/>
  </r>
  <r>
    <x v="558"/>
    <x v="36"/>
    <x v="2"/>
    <s v="Odisha"/>
    <x v="2"/>
    <s v="Chair"/>
    <x v="77"/>
    <x v="556"/>
    <n v="248.05"/>
    <n v="1"/>
    <x v="0"/>
    <s v="Karan"/>
  </r>
  <r>
    <x v="559"/>
    <x v="234"/>
    <x v="2"/>
    <s v="Bihar"/>
    <x v="2"/>
    <s v="Table"/>
    <x v="124"/>
    <x v="557"/>
    <n v="684.03"/>
    <n v="10"/>
    <x v="2"/>
    <s v="Rohit"/>
  </r>
  <r>
    <x v="560"/>
    <x v="157"/>
    <x v="1"/>
    <s v="Tamil Nadu"/>
    <x v="2"/>
    <s v="Bookcase"/>
    <x v="93"/>
    <x v="558"/>
    <n v="1048.08"/>
    <n v="6"/>
    <x v="2"/>
    <s v="Rohit"/>
  </r>
  <r>
    <x v="561"/>
    <x v="218"/>
    <x v="3"/>
    <s v="Maharashtra"/>
    <x v="1"/>
    <s v="Paper"/>
    <x v="19"/>
    <x v="559"/>
    <n v="536.63"/>
    <n v="7"/>
    <x v="0"/>
    <s v="Anjali"/>
  </r>
  <r>
    <x v="562"/>
    <x v="68"/>
    <x v="3"/>
    <s v="Rajasthan"/>
    <x v="2"/>
    <s v="Bookcase"/>
    <x v="103"/>
    <x v="560"/>
    <n v="78.3"/>
    <n v="8"/>
    <x v="2"/>
    <s v="Anjali"/>
  </r>
  <r>
    <x v="563"/>
    <x v="43"/>
    <x v="2"/>
    <s v="Odisha"/>
    <x v="0"/>
    <s v="Printer"/>
    <x v="66"/>
    <x v="561"/>
    <n v="854.41"/>
    <n v="2"/>
    <x v="2"/>
    <s v="Karan"/>
  </r>
  <r>
    <x v="564"/>
    <x v="252"/>
    <x v="3"/>
    <s v="Gujarat"/>
    <x v="2"/>
    <s v="Chair"/>
    <x v="118"/>
    <x v="562"/>
    <n v="75.7"/>
    <n v="1"/>
    <x v="0"/>
    <s v="Rohit"/>
  </r>
  <r>
    <x v="565"/>
    <x v="173"/>
    <x v="0"/>
    <s v="Punjab"/>
    <x v="0"/>
    <s v="Laptop"/>
    <x v="148"/>
    <x v="563"/>
    <n v="116.41"/>
    <n v="9"/>
    <x v="0"/>
    <s v="Amit"/>
  </r>
  <r>
    <x v="566"/>
    <x v="11"/>
    <x v="0"/>
    <s v="Punjab"/>
    <x v="1"/>
    <s v="Pen"/>
    <x v="133"/>
    <x v="564"/>
    <n v="69.260000000000005"/>
    <n v="5"/>
    <x v="2"/>
    <s v="Neha"/>
  </r>
  <r>
    <x v="567"/>
    <x v="287"/>
    <x v="1"/>
    <s v="Telangana"/>
    <x v="1"/>
    <s v="Paper"/>
    <x v="155"/>
    <x v="565"/>
    <n v="112.3"/>
    <n v="7"/>
    <x v="1"/>
    <s v="Neha"/>
  </r>
  <r>
    <x v="568"/>
    <x v="288"/>
    <x v="2"/>
    <s v="Odisha"/>
    <x v="0"/>
    <s v="Laptop"/>
    <x v="35"/>
    <x v="566"/>
    <n v="462.86"/>
    <n v="3"/>
    <x v="1"/>
    <s v="Karan"/>
  </r>
  <r>
    <x v="569"/>
    <x v="30"/>
    <x v="1"/>
    <s v="Karnataka"/>
    <x v="1"/>
    <s v="Pen"/>
    <x v="88"/>
    <x v="567"/>
    <n v="1340.66"/>
    <n v="5"/>
    <x v="1"/>
    <s v="Priya"/>
  </r>
  <r>
    <x v="570"/>
    <x v="25"/>
    <x v="0"/>
    <s v="Haryana"/>
    <x v="1"/>
    <s v="Pen"/>
    <x v="138"/>
    <x v="568"/>
    <n v="987.64"/>
    <n v="1"/>
    <x v="0"/>
    <s v="Rohit"/>
  </r>
  <r>
    <x v="571"/>
    <x v="57"/>
    <x v="2"/>
    <s v="Odisha"/>
    <x v="2"/>
    <s v="Table"/>
    <x v="61"/>
    <x v="569"/>
    <n v="263.92"/>
    <n v="3"/>
    <x v="0"/>
    <s v="Karan"/>
  </r>
  <r>
    <x v="572"/>
    <x v="258"/>
    <x v="1"/>
    <s v="Tamil Nadu"/>
    <x v="0"/>
    <s v="Printer"/>
    <x v="83"/>
    <x v="570"/>
    <n v="58.77"/>
    <n v="3"/>
    <x v="1"/>
    <s v="Neha"/>
  </r>
  <r>
    <x v="573"/>
    <x v="156"/>
    <x v="2"/>
    <s v="Bihar"/>
    <x v="0"/>
    <s v="Laptop"/>
    <x v="159"/>
    <x v="571"/>
    <n v="890.54"/>
    <n v="3"/>
    <x v="1"/>
    <s v="Amit"/>
  </r>
  <r>
    <x v="574"/>
    <x v="239"/>
    <x v="2"/>
    <s v="Odisha"/>
    <x v="0"/>
    <s v="Printer"/>
    <x v="43"/>
    <x v="572"/>
    <n v="992.04"/>
    <n v="5"/>
    <x v="2"/>
    <s v="Karan"/>
  </r>
  <r>
    <x v="575"/>
    <x v="247"/>
    <x v="3"/>
    <s v="Rajasthan"/>
    <x v="1"/>
    <s v="Paper"/>
    <x v="73"/>
    <x v="573"/>
    <n v="383.95"/>
    <n v="1"/>
    <x v="2"/>
    <s v="Anjali"/>
  </r>
  <r>
    <x v="576"/>
    <x v="289"/>
    <x v="0"/>
    <s v="Delhi"/>
    <x v="1"/>
    <s v="Pen"/>
    <x v="138"/>
    <x v="574"/>
    <n v="203.9"/>
    <n v="8"/>
    <x v="0"/>
    <s v="Sneha"/>
  </r>
  <r>
    <x v="577"/>
    <x v="290"/>
    <x v="2"/>
    <s v="Odisha"/>
    <x v="1"/>
    <s v="Paper"/>
    <x v="19"/>
    <x v="575"/>
    <n v="109.5"/>
    <n v="9"/>
    <x v="1"/>
    <s v="Amit"/>
  </r>
  <r>
    <x v="578"/>
    <x v="291"/>
    <x v="2"/>
    <s v="Bihar"/>
    <x v="0"/>
    <s v="Printer"/>
    <x v="160"/>
    <x v="576"/>
    <n v="620.08000000000004"/>
    <n v="10"/>
    <x v="1"/>
    <s v="Priya"/>
  </r>
  <r>
    <x v="579"/>
    <x v="34"/>
    <x v="0"/>
    <s v="Haryana"/>
    <x v="1"/>
    <s v="Binder"/>
    <x v="121"/>
    <x v="577"/>
    <n v="60.06"/>
    <n v="10"/>
    <x v="0"/>
    <s v="Sneha"/>
  </r>
  <r>
    <x v="580"/>
    <x v="78"/>
    <x v="3"/>
    <s v="Gujarat"/>
    <x v="2"/>
    <s v="Bookcase"/>
    <x v="62"/>
    <x v="578"/>
    <n v="642.32000000000005"/>
    <n v="3"/>
    <x v="2"/>
    <s v="Rahul"/>
  </r>
  <r>
    <x v="581"/>
    <x v="232"/>
    <x v="0"/>
    <s v="Delhi"/>
    <x v="1"/>
    <s v="Pen"/>
    <x v="129"/>
    <x v="579"/>
    <n v="74.03"/>
    <n v="8"/>
    <x v="2"/>
    <s v="Rahul"/>
  </r>
  <r>
    <x v="582"/>
    <x v="9"/>
    <x v="2"/>
    <s v="Odisha"/>
    <x v="1"/>
    <s v="Binder"/>
    <x v="171"/>
    <x v="580"/>
    <n v="703.72"/>
    <n v="10"/>
    <x v="1"/>
    <s v="Rohit"/>
  </r>
  <r>
    <x v="583"/>
    <x v="198"/>
    <x v="3"/>
    <s v="Rajasthan"/>
    <x v="0"/>
    <s v="Printer"/>
    <x v="126"/>
    <x v="581"/>
    <n v="498.72"/>
    <n v="9"/>
    <x v="0"/>
    <s v="Anjali"/>
  </r>
  <r>
    <x v="584"/>
    <x v="186"/>
    <x v="0"/>
    <s v="Punjab"/>
    <x v="2"/>
    <s v="Table"/>
    <x v="105"/>
    <x v="582"/>
    <n v="180.67"/>
    <n v="6"/>
    <x v="2"/>
    <s v="Priya"/>
  </r>
  <r>
    <x v="585"/>
    <x v="292"/>
    <x v="0"/>
    <s v="Haryana"/>
    <x v="0"/>
    <s v="Mouse"/>
    <x v="145"/>
    <x v="583"/>
    <n v="231.79"/>
    <n v="6"/>
    <x v="0"/>
    <s v="Anjali"/>
  </r>
  <r>
    <x v="586"/>
    <x v="225"/>
    <x v="3"/>
    <s v="Maharashtra"/>
    <x v="2"/>
    <s v="Chair"/>
    <x v="165"/>
    <x v="584"/>
    <n v="100.62"/>
    <n v="1"/>
    <x v="2"/>
    <s v="Karan"/>
  </r>
  <r>
    <x v="587"/>
    <x v="199"/>
    <x v="3"/>
    <s v="Rajasthan"/>
    <x v="2"/>
    <s v="Table"/>
    <x v="68"/>
    <x v="585"/>
    <n v="972.34"/>
    <n v="3"/>
    <x v="0"/>
    <s v="Rohit"/>
  </r>
  <r>
    <x v="588"/>
    <x v="231"/>
    <x v="0"/>
    <s v="Haryana"/>
    <x v="2"/>
    <s v="Chair"/>
    <x v="120"/>
    <x v="586"/>
    <n v="715.29"/>
    <n v="9"/>
    <x v="1"/>
    <s v="Sneha"/>
  </r>
  <r>
    <x v="589"/>
    <x v="191"/>
    <x v="2"/>
    <s v="Odisha"/>
    <x v="2"/>
    <s v="Bookcase"/>
    <x v="93"/>
    <x v="587"/>
    <n v="295.57"/>
    <n v="7"/>
    <x v="2"/>
    <s v="Amit"/>
  </r>
  <r>
    <x v="590"/>
    <x v="221"/>
    <x v="1"/>
    <s v="Telangana"/>
    <x v="0"/>
    <s v="Laptop"/>
    <x v="110"/>
    <x v="588"/>
    <n v="132.66"/>
    <n v="9"/>
    <x v="0"/>
    <s v="Neha"/>
  </r>
  <r>
    <x v="591"/>
    <x v="270"/>
    <x v="2"/>
    <s v="Odisha"/>
    <x v="2"/>
    <s v="Table"/>
    <x v="131"/>
    <x v="589"/>
    <n v="1244.54"/>
    <n v="7"/>
    <x v="0"/>
    <s v="Karan"/>
  </r>
  <r>
    <x v="592"/>
    <x v="167"/>
    <x v="3"/>
    <s v="Gujarat"/>
    <x v="2"/>
    <s v="Table"/>
    <x v="9"/>
    <x v="590"/>
    <n v="96.93"/>
    <n v="2"/>
    <x v="0"/>
    <s v="Rahul"/>
  </r>
  <r>
    <x v="593"/>
    <x v="293"/>
    <x v="1"/>
    <s v="Tamil Nadu"/>
    <x v="2"/>
    <s v="Chair"/>
    <x v="79"/>
    <x v="591"/>
    <n v="273.57"/>
    <n v="3"/>
    <x v="2"/>
    <s v="Neha"/>
  </r>
  <r>
    <x v="594"/>
    <x v="45"/>
    <x v="2"/>
    <s v="Bihar"/>
    <x v="2"/>
    <s v="Bookcase"/>
    <x v="166"/>
    <x v="592"/>
    <n v="1268.8900000000001"/>
    <n v="5"/>
    <x v="1"/>
    <s v="Rahul"/>
  </r>
  <r>
    <x v="595"/>
    <x v="261"/>
    <x v="0"/>
    <s v="Delhi"/>
    <x v="0"/>
    <s v="Mouse"/>
    <x v="8"/>
    <x v="593"/>
    <n v="306.64"/>
    <n v="8"/>
    <x v="2"/>
    <s v="Sneha"/>
  </r>
  <r>
    <x v="596"/>
    <x v="26"/>
    <x v="1"/>
    <s v="Karnataka"/>
    <x v="2"/>
    <s v="Table"/>
    <x v="105"/>
    <x v="594"/>
    <n v="1275.25"/>
    <n v="4"/>
    <x v="2"/>
    <s v="Rahul"/>
  </r>
  <r>
    <x v="597"/>
    <x v="12"/>
    <x v="1"/>
    <s v="Telangana"/>
    <x v="1"/>
    <s v="Pen"/>
    <x v="152"/>
    <x v="595"/>
    <n v="140.15"/>
    <n v="10"/>
    <x v="0"/>
    <s v="Rohit"/>
  </r>
  <r>
    <x v="598"/>
    <x v="192"/>
    <x v="2"/>
    <s v="Odisha"/>
    <x v="0"/>
    <s v="Laptop"/>
    <x v="39"/>
    <x v="596"/>
    <n v="205.38"/>
    <n v="10"/>
    <x v="2"/>
    <s v="Priya"/>
  </r>
  <r>
    <x v="599"/>
    <x v="125"/>
    <x v="1"/>
    <s v="Tamil Nadu"/>
    <x v="2"/>
    <s v="Chair"/>
    <x v="118"/>
    <x v="597"/>
    <n v="1022.06"/>
    <n v="6"/>
    <x v="0"/>
    <s v="Sneha"/>
  </r>
  <r>
    <x v="600"/>
    <x v="108"/>
    <x v="0"/>
    <s v="Punjab"/>
    <x v="2"/>
    <s v="Bookcase"/>
    <x v="93"/>
    <x v="598"/>
    <n v="174.47"/>
    <n v="6"/>
    <x v="1"/>
    <s v="Sneha"/>
  </r>
  <r>
    <x v="601"/>
    <x v="294"/>
    <x v="0"/>
    <s v="Punjab"/>
    <x v="2"/>
    <s v="Chair"/>
    <x v="125"/>
    <x v="599"/>
    <n v="636.58000000000004"/>
    <n v="9"/>
    <x v="2"/>
    <s v="Rahul"/>
  </r>
  <r>
    <x v="602"/>
    <x v="171"/>
    <x v="0"/>
    <s v="Punjab"/>
    <x v="2"/>
    <s v="Chair"/>
    <x v="172"/>
    <x v="600"/>
    <n v="665.32"/>
    <n v="8"/>
    <x v="0"/>
    <s v="Priya"/>
  </r>
  <r>
    <x v="603"/>
    <x v="25"/>
    <x v="2"/>
    <s v="Bihar"/>
    <x v="0"/>
    <s v="Mouse"/>
    <x v="3"/>
    <x v="601"/>
    <n v="217.64"/>
    <n v="3"/>
    <x v="0"/>
    <s v="Neha"/>
  </r>
  <r>
    <x v="604"/>
    <x v="295"/>
    <x v="3"/>
    <s v="Gujarat"/>
    <x v="0"/>
    <s v="Mouse"/>
    <x v="113"/>
    <x v="602"/>
    <n v="103.51"/>
    <n v="10"/>
    <x v="2"/>
    <s v="Rohit"/>
  </r>
  <r>
    <x v="605"/>
    <x v="296"/>
    <x v="2"/>
    <s v="Odisha"/>
    <x v="0"/>
    <s v="Laptop"/>
    <x v="20"/>
    <x v="603"/>
    <n v="718.84"/>
    <n v="2"/>
    <x v="0"/>
    <s v="Amit"/>
  </r>
  <r>
    <x v="606"/>
    <x v="40"/>
    <x v="0"/>
    <s v="Delhi"/>
    <x v="1"/>
    <s v="Pen"/>
    <x v="173"/>
    <x v="604"/>
    <n v="957.31"/>
    <n v="5"/>
    <x v="0"/>
    <s v="Rohit"/>
  </r>
  <r>
    <x v="607"/>
    <x v="177"/>
    <x v="3"/>
    <s v="Maharashtra"/>
    <x v="0"/>
    <s v="Mouse"/>
    <x v="17"/>
    <x v="605"/>
    <n v="239.38"/>
    <n v="7"/>
    <x v="0"/>
    <s v="Rohit"/>
  </r>
  <r>
    <x v="608"/>
    <x v="283"/>
    <x v="0"/>
    <s v="Haryana"/>
    <x v="0"/>
    <s v="Printer"/>
    <x v="4"/>
    <x v="606"/>
    <n v="283.22000000000003"/>
    <n v="4"/>
    <x v="0"/>
    <s v="Rahul"/>
  </r>
  <r>
    <x v="609"/>
    <x v="116"/>
    <x v="0"/>
    <s v="Haryana"/>
    <x v="0"/>
    <s v="Mouse"/>
    <x v="174"/>
    <x v="607"/>
    <n v="426.04"/>
    <n v="2"/>
    <x v="0"/>
    <s v="Priya"/>
  </r>
  <r>
    <x v="610"/>
    <x v="297"/>
    <x v="0"/>
    <s v="Delhi"/>
    <x v="0"/>
    <s v="Laptop"/>
    <x v="39"/>
    <x v="608"/>
    <n v="961.02"/>
    <n v="4"/>
    <x v="1"/>
    <s v="Amit"/>
  </r>
  <r>
    <x v="611"/>
    <x v="225"/>
    <x v="2"/>
    <s v="Odisha"/>
    <x v="0"/>
    <s v="Laptop"/>
    <x v="0"/>
    <x v="609"/>
    <n v="515.70000000000005"/>
    <n v="3"/>
    <x v="1"/>
    <s v="Amit"/>
  </r>
  <r>
    <x v="612"/>
    <x v="199"/>
    <x v="2"/>
    <s v="Odisha"/>
    <x v="1"/>
    <s v="Paper"/>
    <x v="167"/>
    <x v="610"/>
    <n v="354.92"/>
    <n v="7"/>
    <x v="2"/>
    <s v="Amit"/>
  </r>
  <r>
    <x v="613"/>
    <x v="286"/>
    <x v="3"/>
    <s v="Rajasthan"/>
    <x v="2"/>
    <s v="Chair"/>
    <x v="80"/>
    <x v="611"/>
    <n v="1013.8"/>
    <n v="3"/>
    <x v="1"/>
    <s v="Neha"/>
  </r>
  <r>
    <x v="614"/>
    <x v="298"/>
    <x v="1"/>
    <s v="Karnataka"/>
    <x v="0"/>
    <s v="Printer"/>
    <x v="51"/>
    <x v="612"/>
    <n v="126.81"/>
    <n v="6"/>
    <x v="1"/>
    <s v="Neha"/>
  </r>
  <r>
    <x v="615"/>
    <x v="102"/>
    <x v="0"/>
    <s v="Delhi"/>
    <x v="1"/>
    <s v="Paper"/>
    <x v="101"/>
    <x v="613"/>
    <n v="314.08"/>
    <n v="8"/>
    <x v="2"/>
    <s v="Rohit"/>
  </r>
  <r>
    <x v="616"/>
    <x v="156"/>
    <x v="3"/>
    <s v="Gujarat"/>
    <x v="2"/>
    <s v="Chair"/>
    <x v="165"/>
    <x v="614"/>
    <n v="1351.36"/>
    <n v="4"/>
    <x v="2"/>
    <s v="Neha"/>
  </r>
  <r>
    <x v="617"/>
    <x v="229"/>
    <x v="1"/>
    <s v="Tamil Nadu"/>
    <x v="0"/>
    <s v="Laptop"/>
    <x v="69"/>
    <x v="615"/>
    <n v="531.71"/>
    <n v="3"/>
    <x v="1"/>
    <s v="Karan"/>
  </r>
  <r>
    <x v="618"/>
    <x v="174"/>
    <x v="2"/>
    <s v="Bihar"/>
    <x v="2"/>
    <s v="Bookcase"/>
    <x v="38"/>
    <x v="616"/>
    <n v="882.44"/>
    <n v="2"/>
    <x v="0"/>
    <s v="Rahul"/>
  </r>
  <r>
    <x v="619"/>
    <x v="1"/>
    <x v="3"/>
    <s v="Maharashtra"/>
    <x v="2"/>
    <s v="Chair"/>
    <x v="81"/>
    <x v="617"/>
    <n v="529.13"/>
    <n v="3"/>
    <x v="1"/>
    <s v="Priya"/>
  </r>
  <r>
    <x v="620"/>
    <x v="299"/>
    <x v="0"/>
    <s v="Haryana"/>
    <x v="2"/>
    <s v="Table"/>
    <x v="124"/>
    <x v="618"/>
    <n v="394.59"/>
    <n v="1"/>
    <x v="2"/>
    <s v="Sneha"/>
  </r>
  <r>
    <x v="621"/>
    <x v="99"/>
    <x v="1"/>
    <s v="Karnataka"/>
    <x v="0"/>
    <s v="Printer"/>
    <x v="66"/>
    <x v="619"/>
    <n v="276.33"/>
    <n v="7"/>
    <x v="2"/>
    <s v="Priya"/>
  </r>
  <r>
    <x v="622"/>
    <x v="61"/>
    <x v="3"/>
    <s v="Maharashtra"/>
    <x v="0"/>
    <s v="Printer"/>
    <x v="5"/>
    <x v="620"/>
    <n v="1116.79"/>
    <n v="5"/>
    <x v="0"/>
    <s v="Amit"/>
  </r>
  <r>
    <x v="623"/>
    <x v="300"/>
    <x v="3"/>
    <s v="Maharashtra"/>
    <x v="2"/>
    <s v="Bookcase"/>
    <x v="122"/>
    <x v="621"/>
    <n v="322.26"/>
    <n v="4"/>
    <x v="2"/>
    <s v="Sneha"/>
  </r>
  <r>
    <x v="624"/>
    <x v="301"/>
    <x v="0"/>
    <s v="Haryana"/>
    <x v="1"/>
    <s v="Paper"/>
    <x v="111"/>
    <x v="622"/>
    <n v="104.53"/>
    <n v="7"/>
    <x v="2"/>
    <s v="Karan"/>
  </r>
  <r>
    <x v="625"/>
    <x v="16"/>
    <x v="1"/>
    <s v="Tamil Nadu"/>
    <x v="1"/>
    <s v="Binder"/>
    <x v="117"/>
    <x v="623"/>
    <n v="459.95"/>
    <n v="9"/>
    <x v="0"/>
    <s v="Rohit"/>
  </r>
  <r>
    <x v="626"/>
    <x v="27"/>
    <x v="1"/>
    <s v="Tamil Nadu"/>
    <x v="2"/>
    <s v="Chair"/>
    <x v="161"/>
    <x v="624"/>
    <n v="602.28"/>
    <n v="1"/>
    <x v="2"/>
    <s v="Amit"/>
  </r>
  <r>
    <x v="627"/>
    <x v="302"/>
    <x v="0"/>
    <s v="Haryana"/>
    <x v="0"/>
    <s v="Printer"/>
    <x v="36"/>
    <x v="625"/>
    <n v="450.3"/>
    <n v="9"/>
    <x v="2"/>
    <s v="Amit"/>
  </r>
  <r>
    <x v="628"/>
    <x v="245"/>
    <x v="0"/>
    <s v="Delhi"/>
    <x v="2"/>
    <s v="Table"/>
    <x v="32"/>
    <x v="626"/>
    <n v="20.87"/>
    <n v="9"/>
    <x v="1"/>
    <s v="Amit"/>
  </r>
  <r>
    <x v="629"/>
    <x v="132"/>
    <x v="1"/>
    <s v="Telangana"/>
    <x v="0"/>
    <s v="Printer"/>
    <x v="135"/>
    <x v="627"/>
    <n v="447.24"/>
    <n v="6"/>
    <x v="2"/>
    <s v="Sneha"/>
  </r>
  <r>
    <x v="630"/>
    <x v="27"/>
    <x v="1"/>
    <s v="Telangana"/>
    <x v="1"/>
    <s v="Binder"/>
    <x v="23"/>
    <x v="628"/>
    <n v="729.11"/>
    <n v="6"/>
    <x v="1"/>
    <s v="Rohit"/>
  </r>
  <r>
    <x v="631"/>
    <x v="292"/>
    <x v="2"/>
    <s v="West Bengal"/>
    <x v="1"/>
    <s v="Pen"/>
    <x v="52"/>
    <x v="629"/>
    <n v="259.25"/>
    <n v="6"/>
    <x v="2"/>
    <s v="Sneha"/>
  </r>
  <r>
    <x v="632"/>
    <x v="231"/>
    <x v="2"/>
    <s v="West Bengal"/>
    <x v="0"/>
    <s v="Printer"/>
    <x v="162"/>
    <x v="630"/>
    <n v="1329.03"/>
    <n v="7"/>
    <x v="1"/>
    <s v="Anjali"/>
  </r>
  <r>
    <x v="633"/>
    <x v="35"/>
    <x v="1"/>
    <s v="Tamil Nadu"/>
    <x v="0"/>
    <s v="Laptop"/>
    <x v="69"/>
    <x v="631"/>
    <n v="707.26"/>
    <n v="3"/>
    <x v="0"/>
    <s v="Karan"/>
  </r>
  <r>
    <x v="634"/>
    <x v="131"/>
    <x v="2"/>
    <s v="West Bengal"/>
    <x v="0"/>
    <s v="Mouse"/>
    <x v="139"/>
    <x v="632"/>
    <n v="449.88"/>
    <n v="9"/>
    <x v="2"/>
    <s v="Sneha"/>
  </r>
  <r>
    <x v="635"/>
    <x v="235"/>
    <x v="0"/>
    <s v="Punjab"/>
    <x v="0"/>
    <s v="Mouse"/>
    <x v="123"/>
    <x v="633"/>
    <n v="32.86"/>
    <n v="4"/>
    <x v="0"/>
    <s v="Anjali"/>
  </r>
  <r>
    <x v="636"/>
    <x v="303"/>
    <x v="0"/>
    <s v="Punjab"/>
    <x v="2"/>
    <s v="Chair"/>
    <x v="70"/>
    <x v="634"/>
    <n v="875.42"/>
    <n v="4"/>
    <x v="0"/>
    <s v="Neha"/>
  </r>
  <r>
    <x v="637"/>
    <x v="304"/>
    <x v="0"/>
    <s v="Punjab"/>
    <x v="2"/>
    <s v="Chair"/>
    <x v="175"/>
    <x v="635"/>
    <n v="734.08"/>
    <n v="6"/>
    <x v="1"/>
    <s v="Amit"/>
  </r>
  <r>
    <x v="638"/>
    <x v="158"/>
    <x v="3"/>
    <s v="Rajasthan"/>
    <x v="1"/>
    <s v="Pen"/>
    <x v="173"/>
    <x v="636"/>
    <n v="1074.29"/>
    <n v="9"/>
    <x v="1"/>
    <s v="Amit"/>
  </r>
  <r>
    <x v="639"/>
    <x v="163"/>
    <x v="2"/>
    <s v="West Bengal"/>
    <x v="1"/>
    <s v="Paper"/>
    <x v="111"/>
    <x v="637"/>
    <n v="249.48"/>
    <n v="3"/>
    <x v="1"/>
    <s v="Neha"/>
  </r>
  <r>
    <x v="640"/>
    <x v="305"/>
    <x v="0"/>
    <s v="Delhi"/>
    <x v="2"/>
    <s v="Chair"/>
    <x v="151"/>
    <x v="638"/>
    <n v="148.81"/>
    <n v="8"/>
    <x v="1"/>
    <s v="Karan"/>
  </r>
  <r>
    <x v="641"/>
    <x v="238"/>
    <x v="2"/>
    <s v="Bihar"/>
    <x v="1"/>
    <s v="Pen"/>
    <x v="37"/>
    <x v="639"/>
    <n v="1220.55"/>
    <n v="7"/>
    <x v="1"/>
    <s v="Karan"/>
  </r>
  <r>
    <x v="642"/>
    <x v="234"/>
    <x v="1"/>
    <s v="Telangana"/>
    <x v="0"/>
    <s v="Mouse"/>
    <x v="170"/>
    <x v="640"/>
    <n v="85.82"/>
    <n v="6"/>
    <x v="0"/>
    <s v="Anjali"/>
  </r>
  <r>
    <x v="643"/>
    <x v="306"/>
    <x v="2"/>
    <s v="Bihar"/>
    <x v="0"/>
    <s v="Printer"/>
    <x v="135"/>
    <x v="641"/>
    <n v="286.60000000000002"/>
    <n v="1"/>
    <x v="0"/>
    <s v="Anjali"/>
  </r>
  <r>
    <x v="644"/>
    <x v="19"/>
    <x v="1"/>
    <s v="Karnataka"/>
    <x v="1"/>
    <s v="Pen"/>
    <x v="176"/>
    <x v="642"/>
    <n v="313.3"/>
    <n v="8"/>
    <x v="1"/>
    <s v="Amit"/>
  </r>
  <r>
    <x v="645"/>
    <x v="307"/>
    <x v="3"/>
    <s v="Maharashtra"/>
    <x v="2"/>
    <s v="Chair"/>
    <x v="77"/>
    <x v="643"/>
    <n v="715.43"/>
    <n v="6"/>
    <x v="0"/>
    <s v="Karan"/>
  </r>
  <r>
    <x v="646"/>
    <x v="91"/>
    <x v="1"/>
    <s v="Karnataka"/>
    <x v="1"/>
    <s v="Binder"/>
    <x v="50"/>
    <x v="644"/>
    <n v="480.8"/>
    <n v="1"/>
    <x v="1"/>
    <s v="Anjali"/>
  </r>
  <r>
    <x v="647"/>
    <x v="305"/>
    <x v="1"/>
    <s v="Karnataka"/>
    <x v="1"/>
    <s v="Paper"/>
    <x v="1"/>
    <x v="645"/>
    <n v="1518.32"/>
    <n v="7"/>
    <x v="1"/>
    <s v="Priya"/>
  </r>
  <r>
    <x v="648"/>
    <x v="267"/>
    <x v="0"/>
    <s v="Punjab"/>
    <x v="0"/>
    <s v="Laptop"/>
    <x v="127"/>
    <x v="646"/>
    <n v="335.8"/>
    <n v="8"/>
    <x v="0"/>
    <s v="Rahul"/>
  </r>
  <r>
    <x v="649"/>
    <x v="93"/>
    <x v="1"/>
    <s v="Tamil Nadu"/>
    <x v="1"/>
    <s v="Paper"/>
    <x v="155"/>
    <x v="647"/>
    <n v="1149.6500000000001"/>
    <n v="4"/>
    <x v="0"/>
    <s v="Rahul"/>
  </r>
  <r>
    <x v="650"/>
    <x v="110"/>
    <x v="1"/>
    <s v="Telangana"/>
    <x v="0"/>
    <s v="Laptop"/>
    <x v="134"/>
    <x v="648"/>
    <n v="419.44"/>
    <n v="9"/>
    <x v="1"/>
    <s v="Anjali"/>
  </r>
  <r>
    <x v="651"/>
    <x v="63"/>
    <x v="1"/>
    <s v="Karnataka"/>
    <x v="2"/>
    <s v="Chair"/>
    <x v="125"/>
    <x v="649"/>
    <n v="875.78"/>
    <n v="4"/>
    <x v="0"/>
    <s v="Sneha"/>
  </r>
  <r>
    <x v="652"/>
    <x v="221"/>
    <x v="1"/>
    <s v="Telangana"/>
    <x v="0"/>
    <s v="Laptop"/>
    <x v="91"/>
    <x v="650"/>
    <n v="166.69"/>
    <n v="7"/>
    <x v="1"/>
    <s v="Sneha"/>
  </r>
  <r>
    <x v="653"/>
    <x v="31"/>
    <x v="0"/>
    <s v="Haryana"/>
    <x v="1"/>
    <s v="Binder"/>
    <x v="30"/>
    <x v="651"/>
    <n v="1358.18"/>
    <n v="7"/>
    <x v="1"/>
    <s v="Karan"/>
  </r>
  <r>
    <x v="654"/>
    <x v="125"/>
    <x v="1"/>
    <s v="Tamil Nadu"/>
    <x v="2"/>
    <s v="Table"/>
    <x v="7"/>
    <x v="652"/>
    <n v="265.25"/>
    <n v="4"/>
    <x v="1"/>
    <s v="Amit"/>
  </r>
  <r>
    <x v="655"/>
    <x v="308"/>
    <x v="1"/>
    <s v="Karnataka"/>
    <x v="0"/>
    <s v="Laptop"/>
    <x v="134"/>
    <x v="653"/>
    <n v="279.07"/>
    <n v="5"/>
    <x v="0"/>
    <s v="Sneha"/>
  </r>
  <r>
    <x v="656"/>
    <x v="309"/>
    <x v="2"/>
    <s v="Bihar"/>
    <x v="2"/>
    <s v="Table"/>
    <x v="76"/>
    <x v="654"/>
    <n v="1038.79"/>
    <n v="7"/>
    <x v="1"/>
    <s v="Anjali"/>
  </r>
  <r>
    <x v="657"/>
    <x v="217"/>
    <x v="3"/>
    <s v="Maharashtra"/>
    <x v="2"/>
    <s v="Bookcase"/>
    <x v="14"/>
    <x v="655"/>
    <n v="514.27"/>
    <n v="2"/>
    <x v="1"/>
    <s v="Karan"/>
  </r>
  <r>
    <x v="658"/>
    <x v="207"/>
    <x v="1"/>
    <s v="Karnataka"/>
    <x v="2"/>
    <s v="Table"/>
    <x v="168"/>
    <x v="656"/>
    <n v="139.30000000000001"/>
    <n v="2"/>
    <x v="2"/>
    <s v="Anjali"/>
  </r>
  <r>
    <x v="659"/>
    <x v="310"/>
    <x v="3"/>
    <s v="Rajasthan"/>
    <x v="0"/>
    <s v="Printer"/>
    <x v="66"/>
    <x v="657"/>
    <n v="242.72"/>
    <n v="6"/>
    <x v="1"/>
    <s v="Karan"/>
  </r>
  <r>
    <x v="660"/>
    <x v="249"/>
    <x v="0"/>
    <s v="Delhi"/>
    <x v="2"/>
    <s v="Bookcase"/>
    <x v="156"/>
    <x v="658"/>
    <n v="797.56"/>
    <n v="4"/>
    <x v="1"/>
    <s v="Priya"/>
  </r>
  <r>
    <x v="661"/>
    <x v="222"/>
    <x v="0"/>
    <s v="Delhi"/>
    <x v="0"/>
    <s v="Laptop"/>
    <x v="20"/>
    <x v="659"/>
    <n v="615.21"/>
    <n v="6"/>
    <x v="2"/>
    <s v="Neha"/>
  </r>
  <r>
    <x v="662"/>
    <x v="2"/>
    <x v="3"/>
    <s v="Maharashtra"/>
    <x v="2"/>
    <s v="Bookcase"/>
    <x v="109"/>
    <x v="660"/>
    <n v="557.69000000000005"/>
    <n v="3"/>
    <x v="2"/>
    <s v="Karan"/>
  </r>
  <r>
    <x v="663"/>
    <x v="164"/>
    <x v="2"/>
    <s v="Bihar"/>
    <x v="1"/>
    <s v="Binder"/>
    <x v="119"/>
    <x v="661"/>
    <n v="48.32"/>
    <n v="6"/>
    <x v="1"/>
    <s v="Karan"/>
  </r>
  <r>
    <x v="664"/>
    <x v="2"/>
    <x v="1"/>
    <s v="Telangana"/>
    <x v="2"/>
    <s v="Table"/>
    <x v="41"/>
    <x v="662"/>
    <n v="704.84"/>
    <n v="4"/>
    <x v="0"/>
    <s v="Neha"/>
  </r>
  <r>
    <x v="665"/>
    <x v="60"/>
    <x v="0"/>
    <s v="Haryana"/>
    <x v="0"/>
    <s v="Mouse"/>
    <x v="100"/>
    <x v="663"/>
    <n v="1003.85"/>
    <n v="10"/>
    <x v="1"/>
    <s v="Neha"/>
  </r>
  <r>
    <x v="666"/>
    <x v="311"/>
    <x v="0"/>
    <s v="Punjab"/>
    <x v="0"/>
    <s v="Laptop"/>
    <x v="91"/>
    <x v="664"/>
    <n v="420.45"/>
    <n v="7"/>
    <x v="0"/>
    <s v="Sneha"/>
  </r>
  <r>
    <x v="667"/>
    <x v="241"/>
    <x v="0"/>
    <s v="Punjab"/>
    <x v="0"/>
    <s v="Laptop"/>
    <x v="74"/>
    <x v="665"/>
    <n v="776.7"/>
    <n v="10"/>
    <x v="1"/>
    <s v="Amit"/>
  </r>
  <r>
    <x v="668"/>
    <x v="151"/>
    <x v="2"/>
    <s v="Odisha"/>
    <x v="1"/>
    <s v="Paper"/>
    <x v="45"/>
    <x v="666"/>
    <n v="1218.6400000000001"/>
    <n v="9"/>
    <x v="1"/>
    <s v="Sneha"/>
  </r>
  <r>
    <x v="669"/>
    <x v="234"/>
    <x v="2"/>
    <s v="Odisha"/>
    <x v="2"/>
    <s v="Chair"/>
    <x v="120"/>
    <x v="667"/>
    <n v="37.54"/>
    <n v="2"/>
    <x v="1"/>
    <s v="Rohit"/>
  </r>
  <r>
    <x v="670"/>
    <x v="221"/>
    <x v="2"/>
    <s v="Bihar"/>
    <x v="1"/>
    <s v="Pen"/>
    <x v="152"/>
    <x v="668"/>
    <n v="187.99"/>
    <n v="1"/>
    <x v="0"/>
    <s v="Amit"/>
  </r>
  <r>
    <x v="671"/>
    <x v="163"/>
    <x v="2"/>
    <s v="Bihar"/>
    <x v="0"/>
    <s v="Laptop"/>
    <x v="67"/>
    <x v="669"/>
    <n v="241.41"/>
    <n v="4"/>
    <x v="0"/>
    <s v="Karan"/>
  </r>
  <r>
    <x v="672"/>
    <x v="240"/>
    <x v="3"/>
    <s v="Rajasthan"/>
    <x v="2"/>
    <s v="Table"/>
    <x v="142"/>
    <x v="670"/>
    <n v="1532.35"/>
    <n v="9"/>
    <x v="0"/>
    <s v="Karan"/>
  </r>
  <r>
    <x v="673"/>
    <x v="103"/>
    <x v="2"/>
    <s v="West Bengal"/>
    <x v="0"/>
    <s v="Printer"/>
    <x v="51"/>
    <x v="671"/>
    <n v="715.29"/>
    <n v="1"/>
    <x v="2"/>
    <s v="Rohit"/>
  </r>
  <r>
    <x v="674"/>
    <x v="312"/>
    <x v="3"/>
    <s v="Gujarat"/>
    <x v="0"/>
    <s v="Laptop"/>
    <x v="35"/>
    <x v="672"/>
    <n v="1037.3800000000001"/>
    <n v="1"/>
    <x v="2"/>
    <s v="Amit"/>
  </r>
  <r>
    <x v="675"/>
    <x v="313"/>
    <x v="3"/>
    <s v="Rajasthan"/>
    <x v="0"/>
    <s v="Mouse"/>
    <x v="2"/>
    <x v="673"/>
    <n v="1045.32"/>
    <n v="5"/>
    <x v="2"/>
    <s v="Priya"/>
  </r>
  <r>
    <x v="676"/>
    <x v="249"/>
    <x v="2"/>
    <s v="Odisha"/>
    <x v="1"/>
    <s v="Paper"/>
    <x v="63"/>
    <x v="674"/>
    <n v="150.30000000000001"/>
    <n v="3"/>
    <x v="1"/>
    <s v="Sneha"/>
  </r>
  <r>
    <x v="677"/>
    <x v="231"/>
    <x v="1"/>
    <s v="Karnataka"/>
    <x v="1"/>
    <s v="Binder"/>
    <x v="117"/>
    <x v="675"/>
    <n v="476.57"/>
    <n v="5"/>
    <x v="1"/>
    <s v="Neha"/>
  </r>
  <r>
    <x v="678"/>
    <x v="157"/>
    <x v="1"/>
    <s v="Karnataka"/>
    <x v="2"/>
    <s v="Chair"/>
    <x v="125"/>
    <x v="676"/>
    <n v="221.71"/>
    <n v="10"/>
    <x v="2"/>
    <s v="Rohit"/>
  </r>
  <r>
    <x v="679"/>
    <x v="92"/>
    <x v="3"/>
    <s v="Rajasthan"/>
    <x v="2"/>
    <s v="Table"/>
    <x v="68"/>
    <x v="677"/>
    <n v="695.13"/>
    <n v="6"/>
    <x v="1"/>
    <s v="Karan"/>
  </r>
  <r>
    <x v="680"/>
    <x v="165"/>
    <x v="0"/>
    <s v="Punjab"/>
    <x v="1"/>
    <s v="Pen"/>
    <x v="28"/>
    <x v="678"/>
    <n v="1445.51"/>
    <n v="1"/>
    <x v="1"/>
    <s v="Karan"/>
  </r>
  <r>
    <x v="681"/>
    <x v="61"/>
    <x v="1"/>
    <s v="Tamil Nadu"/>
    <x v="2"/>
    <s v="Chair"/>
    <x v="175"/>
    <x v="679"/>
    <n v="195.79"/>
    <n v="8"/>
    <x v="1"/>
    <s v="Rohit"/>
  </r>
  <r>
    <x v="682"/>
    <x v="279"/>
    <x v="2"/>
    <s v="West Bengal"/>
    <x v="2"/>
    <s v="Table"/>
    <x v="105"/>
    <x v="680"/>
    <n v="51.95"/>
    <n v="1"/>
    <x v="1"/>
    <s v="Anjali"/>
  </r>
  <r>
    <x v="683"/>
    <x v="187"/>
    <x v="0"/>
    <s v="Punjab"/>
    <x v="1"/>
    <s v="Pen"/>
    <x v="152"/>
    <x v="681"/>
    <n v="238.75"/>
    <n v="9"/>
    <x v="1"/>
    <s v="Rohit"/>
  </r>
  <r>
    <x v="684"/>
    <x v="279"/>
    <x v="0"/>
    <s v="Punjab"/>
    <x v="1"/>
    <s v="Paper"/>
    <x v="95"/>
    <x v="682"/>
    <n v="1084.43"/>
    <n v="4"/>
    <x v="1"/>
    <s v="Priya"/>
  </r>
  <r>
    <x v="685"/>
    <x v="147"/>
    <x v="2"/>
    <s v="Bihar"/>
    <x v="2"/>
    <s v="Bookcase"/>
    <x v="99"/>
    <x v="683"/>
    <n v="66.02"/>
    <n v="7"/>
    <x v="0"/>
    <s v="Rahul"/>
  </r>
  <r>
    <x v="686"/>
    <x v="186"/>
    <x v="2"/>
    <s v="Odisha"/>
    <x v="1"/>
    <s v="Binder"/>
    <x v="50"/>
    <x v="684"/>
    <n v="105.83"/>
    <n v="6"/>
    <x v="1"/>
    <s v="Rahul"/>
  </r>
  <r>
    <x v="687"/>
    <x v="56"/>
    <x v="0"/>
    <s v="Delhi"/>
    <x v="1"/>
    <s v="Paper"/>
    <x v="167"/>
    <x v="685"/>
    <n v="49.03"/>
    <n v="1"/>
    <x v="1"/>
    <s v="Amit"/>
  </r>
  <r>
    <x v="688"/>
    <x v="314"/>
    <x v="1"/>
    <s v="Karnataka"/>
    <x v="2"/>
    <s v="Chair"/>
    <x v="70"/>
    <x v="686"/>
    <n v="416.86"/>
    <n v="6"/>
    <x v="1"/>
    <s v="Karan"/>
  </r>
  <r>
    <x v="689"/>
    <x v="85"/>
    <x v="2"/>
    <s v="Odisha"/>
    <x v="0"/>
    <s v="Mouse"/>
    <x v="8"/>
    <x v="687"/>
    <n v="767.84"/>
    <n v="10"/>
    <x v="1"/>
    <s v="Rohit"/>
  </r>
  <r>
    <x v="690"/>
    <x v="184"/>
    <x v="2"/>
    <s v="West Bengal"/>
    <x v="0"/>
    <s v="Printer"/>
    <x v="126"/>
    <x v="688"/>
    <n v="113.31"/>
    <n v="1"/>
    <x v="0"/>
    <s v="Rahul"/>
  </r>
  <r>
    <x v="691"/>
    <x v="235"/>
    <x v="3"/>
    <s v="Rajasthan"/>
    <x v="2"/>
    <s v="Chair"/>
    <x v="22"/>
    <x v="689"/>
    <n v="312.38"/>
    <n v="5"/>
    <x v="0"/>
    <s v="Rahul"/>
  </r>
  <r>
    <x v="692"/>
    <x v="274"/>
    <x v="1"/>
    <s v="Telangana"/>
    <x v="1"/>
    <s v="Binder"/>
    <x v="27"/>
    <x v="690"/>
    <n v="294.62"/>
    <n v="2"/>
    <x v="1"/>
    <s v="Karan"/>
  </r>
  <r>
    <x v="693"/>
    <x v="315"/>
    <x v="2"/>
    <s v="Bihar"/>
    <x v="0"/>
    <s v="Laptop"/>
    <x v="67"/>
    <x v="691"/>
    <n v="217.17"/>
    <n v="6"/>
    <x v="1"/>
    <s v="Anjali"/>
  </r>
  <r>
    <x v="694"/>
    <x v="17"/>
    <x v="3"/>
    <s v="Maharashtra"/>
    <x v="2"/>
    <s v="Table"/>
    <x v="7"/>
    <x v="692"/>
    <n v="1622.12"/>
    <n v="10"/>
    <x v="2"/>
    <s v="Amit"/>
  </r>
  <r>
    <x v="695"/>
    <x v="262"/>
    <x v="2"/>
    <s v="Bihar"/>
    <x v="2"/>
    <s v="Bookcase"/>
    <x v="14"/>
    <x v="693"/>
    <n v="617.17999999999995"/>
    <n v="1"/>
    <x v="2"/>
    <s v="Priya"/>
  </r>
  <r>
    <x v="696"/>
    <x v="316"/>
    <x v="1"/>
    <s v="Telangana"/>
    <x v="0"/>
    <s v="Mouse"/>
    <x v="108"/>
    <x v="694"/>
    <n v="951.49"/>
    <n v="10"/>
    <x v="1"/>
    <s v="Anjali"/>
  </r>
  <r>
    <x v="697"/>
    <x v="212"/>
    <x v="3"/>
    <s v="Rajasthan"/>
    <x v="1"/>
    <s v="Paper"/>
    <x v="34"/>
    <x v="695"/>
    <n v="258.08"/>
    <n v="6"/>
    <x v="1"/>
    <s v="Rohit"/>
  </r>
  <r>
    <x v="698"/>
    <x v="242"/>
    <x v="1"/>
    <s v="Telangana"/>
    <x v="1"/>
    <s v="Paper"/>
    <x v="19"/>
    <x v="696"/>
    <n v="1324.32"/>
    <n v="8"/>
    <x v="0"/>
    <s v="Amit"/>
  </r>
  <r>
    <x v="699"/>
    <x v="273"/>
    <x v="3"/>
    <s v="Maharashtra"/>
    <x v="1"/>
    <s v="Paper"/>
    <x v="155"/>
    <x v="697"/>
    <n v="369.96"/>
    <n v="5"/>
    <x v="1"/>
    <s v="Anjali"/>
  </r>
  <r>
    <x v="700"/>
    <x v="152"/>
    <x v="2"/>
    <s v="Odisha"/>
    <x v="1"/>
    <s v="Paper"/>
    <x v="54"/>
    <x v="698"/>
    <n v="347.44"/>
    <n v="8"/>
    <x v="1"/>
    <s v="Neha"/>
  </r>
  <r>
    <x v="701"/>
    <x v="314"/>
    <x v="3"/>
    <s v="Maharashtra"/>
    <x v="2"/>
    <s v="Bookcase"/>
    <x v="156"/>
    <x v="699"/>
    <n v="473.69"/>
    <n v="3"/>
    <x v="0"/>
    <s v="Neha"/>
  </r>
  <r>
    <x v="702"/>
    <x v="78"/>
    <x v="0"/>
    <s v="Delhi"/>
    <x v="1"/>
    <s v="Binder"/>
    <x v="144"/>
    <x v="700"/>
    <n v="418.1"/>
    <n v="9"/>
    <x v="0"/>
    <s v="Priya"/>
  </r>
  <r>
    <x v="703"/>
    <x v="317"/>
    <x v="1"/>
    <s v="Telangana"/>
    <x v="2"/>
    <s v="Chair"/>
    <x v="80"/>
    <x v="701"/>
    <n v="33.65"/>
    <n v="3"/>
    <x v="2"/>
    <s v="Neha"/>
  </r>
  <r>
    <x v="704"/>
    <x v="101"/>
    <x v="3"/>
    <s v="Gujarat"/>
    <x v="2"/>
    <s v="Table"/>
    <x v="94"/>
    <x v="702"/>
    <n v="538.97"/>
    <n v="8"/>
    <x v="2"/>
    <s v="Amit"/>
  </r>
  <r>
    <x v="705"/>
    <x v="318"/>
    <x v="1"/>
    <s v="Telangana"/>
    <x v="1"/>
    <s v="Pen"/>
    <x v="60"/>
    <x v="703"/>
    <n v="306.87"/>
    <n v="4"/>
    <x v="1"/>
    <s v="Amit"/>
  </r>
  <r>
    <x v="706"/>
    <x v="282"/>
    <x v="0"/>
    <s v="Delhi"/>
    <x v="2"/>
    <s v="Bookcase"/>
    <x v="99"/>
    <x v="704"/>
    <n v="169.52"/>
    <n v="10"/>
    <x v="1"/>
    <s v="Karan"/>
  </r>
  <r>
    <x v="707"/>
    <x v="56"/>
    <x v="3"/>
    <s v="Maharashtra"/>
    <x v="0"/>
    <s v="Printer"/>
    <x v="162"/>
    <x v="705"/>
    <n v="395.49"/>
    <n v="1"/>
    <x v="2"/>
    <s v="Sneha"/>
  </r>
  <r>
    <x v="708"/>
    <x v="81"/>
    <x v="1"/>
    <s v="Tamil Nadu"/>
    <x v="0"/>
    <s v="Mouse"/>
    <x v="177"/>
    <x v="706"/>
    <n v="1034.3800000000001"/>
    <n v="3"/>
    <x v="0"/>
    <s v="Amit"/>
  </r>
  <r>
    <x v="709"/>
    <x v="80"/>
    <x v="2"/>
    <s v="Bihar"/>
    <x v="0"/>
    <s v="Laptop"/>
    <x v="159"/>
    <x v="707"/>
    <n v="518.85"/>
    <n v="1"/>
    <x v="0"/>
    <s v="Neha"/>
  </r>
  <r>
    <x v="710"/>
    <x v="53"/>
    <x v="1"/>
    <s v="Telangana"/>
    <x v="2"/>
    <s v="Chair"/>
    <x v="115"/>
    <x v="708"/>
    <n v="812.62"/>
    <n v="9"/>
    <x v="0"/>
    <s v="Amit"/>
  </r>
  <r>
    <x v="711"/>
    <x v="8"/>
    <x v="1"/>
    <s v="Tamil Nadu"/>
    <x v="2"/>
    <s v="Table"/>
    <x v="178"/>
    <x v="709"/>
    <n v="82.34"/>
    <n v="3"/>
    <x v="1"/>
    <s v="Anjali"/>
  </r>
  <r>
    <x v="712"/>
    <x v="243"/>
    <x v="0"/>
    <s v="Punjab"/>
    <x v="1"/>
    <s v="Pen"/>
    <x v="104"/>
    <x v="710"/>
    <n v="769.86"/>
    <n v="1"/>
    <x v="1"/>
    <s v="Neha"/>
  </r>
  <r>
    <x v="713"/>
    <x v="94"/>
    <x v="1"/>
    <s v="Tamil Nadu"/>
    <x v="0"/>
    <s v="Printer"/>
    <x v="36"/>
    <x v="711"/>
    <n v="161.01"/>
    <n v="6"/>
    <x v="1"/>
    <s v="Neha"/>
  </r>
  <r>
    <x v="714"/>
    <x v="228"/>
    <x v="1"/>
    <s v="Telangana"/>
    <x v="2"/>
    <s v="Chair"/>
    <x v="165"/>
    <x v="712"/>
    <n v="979.44"/>
    <n v="8"/>
    <x v="1"/>
    <s v="Amit"/>
  </r>
  <r>
    <x v="715"/>
    <x v="273"/>
    <x v="1"/>
    <s v="Karnataka"/>
    <x v="2"/>
    <s v="Table"/>
    <x v="33"/>
    <x v="713"/>
    <n v="592.16999999999996"/>
    <n v="1"/>
    <x v="0"/>
    <s v="Amit"/>
  </r>
  <r>
    <x v="716"/>
    <x v="319"/>
    <x v="3"/>
    <s v="Gujarat"/>
    <x v="1"/>
    <s v="Paper"/>
    <x v="95"/>
    <x v="714"/>
    <n v="599.48"/>
    <n v="2"/>
    <x v="0"/>
    <s v="Sneha"/>
  </r>
  <r>
    <x v="717"/>
    <x v="80"/>
    <x v="2"/>
    <s v="Odisha"/>
    <x v="1"/>
    <s v="Pen"/>
    <x v="152"/>
    <x v="715"/>
    <n v="245.54"/>
    <n v="9"/>
    <x v="1"/>
    <s v="Rohit"/>
  </r>
  <r>
    <x v="718"/>
    <x v="135"/>
    <x v="2"/>
    <s v="Odisha"/>
    <x v="2"/>
    <s v="Table"/>
    <x v="94"/>
    <x v="716"/>
    <n v="758.3"/>
    <n v="9"/>
    <x v="1"/>
    <s v="Sneha"/>
  </r>
  <r>
    <x v="719"/>
    <x v="320"/>
    <x v="0"/>
    <s v="Punjab"/>
    <x v="0"/>
    <s v="Mouse"/>
    <x v="174"/>
    <x v="717"/>
    <n v="1419.43"/>
    <n v="10"/>
    <x v="2"/>
    <s v="Amit"/>
  </r>
  <r>
    <x v="720"/>
    <x v="57"/>
    <x v="0"/>
    <s v="Haryana"/>
    <x v="2"/>
    <s v="Table"/>
    <x v="178"/>
    <x v="718"/>
    <n v="91.55"/>
    <n v="7"/>
    <x v="1"/>
    <s v="Anjali"/>
  </r>
  <r>
    <x v="721"/>
    <x v="251"/>
    <x v="1"/>
    <s v="Karnataka"/>
    <x v="1"/>
    <s v="Paper"/>
    <x v="73"/>
    <x v="719"/>
    <n v="232.6"/>
    <n v="3"/>
    <x v="2"/>
    <s v="Priya"/>
  </r>
  <r>
    <x v="722"/>
    <x v="285"/>
    <x v="1"/>
    <s v="Telangana"/>
    <x v="1"/>
    <s v="Paper"/>
    <x v="45"/>
    <x v="720"/>
    <n v="1447.13"/>
    <n v="3"/>
    <x v="1"/>
    <s v="Rahul"/>
  </r>
  <r>
    <x v="723"/>
    <x v="321"/>
    <x v="1"/>
    <s v="Tamil Nadu"/>
    <x v="0"/>
    <s v="Laptop"/>
    <x v="148"/>
    <x v="721"/>
    <n v="480.27"/>
    <n v="2"/>
    <x v="0"/>
    <s v="Rohit"/>
  </r>
  <r>
    <x v="724"/>
    <x v="124"/>
    <x v="2"/>
    <s v="Bihar"/>
    <x v="2"/>
    <s v="Chair"/>
    <x v="40"/>
    <x v="722"/>
    <n v="132.97999999999999"/>
    <n v="8"/>
    <x v="0"/>
    <s v="Anjali"/>
  </r>
  <r>
    <x v="725"/>
    <x v="79"/>
    <x v="1"/>
    <s v="Karnataka"/>
    <x v="2"/>
    <s v="Chair"/>
    <x v="115"/>
    <x v="723"/>
    <n v="576.36"/>
    <n v="2"/>
    <x v="1"/>
    <s v="Amit"/>
  </r>
  <r>
    <x v="726"/>
    <x v="322"/>
    <x v="1"/>
    <s v="Telangana"/>
    <x v="1"/>
    <s v="Binder"/>
    <x v="44"/>
    <x v="724"/>
    <n v="356.71"/>
    <n v="5"/>
    <x v="1"/>
    <s v="Karan"/>
  </r>
  <r>
    <x v="727"/>
    <x v="58"/>
    <x v="3"/>
    <s v="Maharashtra"/>
    <x v="0"/>
    <s v="Laptop"/>
    <x v="74"/>
    <x v="725"/>
    <n v="841.73"/>
    <n v="7"/>
    <x v="0"/>
    <s v="Rohit"/>
  </r>
  <r>
    <x v="728"/>
    <x v="83"/>
    <x v="0"/>
    <s v="Delhi"/>
    <x v="0"/>
    <s v="Mouse"/>
    <x v="145"/>
    <x v="726"/>
    <n v="453.11"/>
    <n v="8"/>
    <x v="0"/>
    <s v="Rahul"/>
  </r>
  <r>
    <x v="729"/>
    <x v="323"/>
    <x v="0"/>
    <s v="Haryana"/>
    <x v="2"/>
    <s v="Bookcase"/>
    <x v="103"/>
    <x v="727"/>
    <n v="1418.31"/>
    <n v="5"/>
    <x v="0"/>
    <s v="Amit"/>
  </r>
  <r>
    <x v="730"/>
    <x v="166"/>
    <x v="0"/>
    <s v="Punjab"/>
    <x v="2"/>
    <s v="Bookcase"/>
    <x v="55"/>
    <x v="728"/>
    <n v="131.47"/>
    <n v="2"/>
    <x v="0"/>
    <s v="Rohit"/>
  </r>
  <r>
    <x v="731"/>
    <x v="69"/>
    <x v="2"/>
    <s v="Odisha"/>
    <x v="2"/>
    <s v="Bookcase"/>
    <x v="122"/>
    <x v="729"/>
    <n v="1049.26"/>
    <n v="6"/>
    <x v="1"/>
    <s v="Amit"/>
  </r>
  <r>
    <x v="732"/>
    <x v="201"/>
    <x v="2"/>
    <s v="West Bengal"/>
    <x v="1"/>
    <s v="Pen"/>
    <x v="42"/>
    <x v="730"/>
    <n v="387.37"/>
    <n v="4"/>
    <x v="0"/>
    <s v="Karan"/>
  </r>
  <r>
    <x v="733"/>
    <x v="47"/>
    <x v="2"/>
    <s v="Odisha"/>
    <x v="2"/>
    <s v="Bookcase"/>
    <x v="150"/>
    <x v="731"/>
    <n v="274.56"/>
    <n v="10"/>
    <x v="0"/>
    <s v="Priya"/>
  </r>
  <r>
    <x v="734"/>
    <x v="31"/>
    <x v="3"/>
    <s v="Rajasthan"/>
    <x v="1"/>
    <s v="Binder"/>
    <x v="27"/>
    <x v="732"/>
    <n v="1008.44"/>
    <n v="6"/>
    <x v="0"/>
    <s v="Sneha"/>
  </r>
  <r>
    <x v="735"/>
    <x v="146"/>
    <x v="0"/>
    <s v="Delhi"/>
    <x v="0"/>
    <s v="Mouse"/>
    <x v="139"/>
    <x v="733"/>
    <n v="56.06"/>
    <n v="7"/>
    <x v="2"/>
    <s v="Anjali"/>
  </r>
  <r>
    <x v="736"/>
    <x v="87"/>
    <x v="1"/>
    <s v="Telangana"/>
    <x v="2"/>
    <s v="Bookcase"/>
    <x v="55"/>
    <x v="734"/>
    <n v="466.93"/>
    <n v="6"/>
    <x v="1"/>
    <s v="Priya"/>
  </r>
  <r>
    <x v="737"/>
    <x v="72"/>
    <x v="2"/>
    <s v="Odisha"/>
    <x v="0"/>
    <s v="Laptop"/>
    <x v="134"/>
    <x v="735"/>
    <n v="100.76"/>
    <n v="10"/>
    <x v="1"/>
    <s v="Sneha"/>
  </r>
  <r>
    <x v="738"/>
    <x v="79"/>
    <x v="2"/>
    <s v="Bihar"/>
    <x v="0"/>
    <s v="Laptop"/>
    <x v="148"/>
    <x v="736"/>
    <n v="1694.37"/>
    <n v="4"/>
    <x v="0"/>
    <s v="Rahul"/>
  </r>
  <r>
    <x v="739"/>
    <x v="256"/>
    <x v="3"/>
    <s v="Gujarat"/>
    <x v="0"/>
    <s v="Mouse"/>
    <x v="139"/>
    <x v="737"/>
    <n v="260.29000000000002"/>
    <n v="5"/>
    <x v="1"/>
    <s v="Karan"/>
  </r>
  <r>
    <x v="740"/>
    <x v="160"/>
    <x v="3"/>
    <s v="Gujarat"/>
    <x v="1"/>
    <s v="Binder"/>
    <x v="117"/>
    <x v="738"/>
    <n v="694.53"/>
    <n v="8"/>
    <x v="2"/>
    <s v="Priya"/>
  </r>
  <r>
    <x v="741"/>
    <x v="28"/>
    <x v="0"/>
    <s v="Punjab"/>
    <x v="0"/>
    <s v="Printer"/>
    <x v="43"/>
    <x v="739"/>
    <n v="396.39"/>
    <n v="3"/>
    <x v="2"/>
    <s v="Rahul"/>
  </r>
  <r>
    <x v="742"/>
    <x v="150"/>
    <x v="2"/>
    <s v="West Bengal"/>
    <x v="0"/>
    <s v="Mouse"/>
    <x v="170"/>
    <x v="740"/>
    <n v="654.25"/>
    <n v="10"/>
    <x v="1"/>
    <s v="Amit"/>
  </r>
  <r>
    <x v="743"/>
    <x v="77"/>
    <x v="3"/>
    <s v="Rajasthan"/>
    <x v="2"/>
    <s v="Bookcase"/>
    <x v="150"/>
    <x v="741"/>
    <n v="1370.43"/>
    <n v="2"/>
    <x v="2"/>
    <s v="Anjali"/>
  </r>
  <r>
    <x v="744"/>
    <x v="146"/>
    <x v="2"/>
    <s v="West Bengal"/>
    <x v="0"/>
    <s v="Mouse"/>
    <x v="114"/>
    <x v="742"/>
    <n v="1223.8699999999999"/>
    <n v="8"/>
    <x v="1"/>
    <s v="Rahul"/>
  </r>
  <r>
    <x v="745"/>
    <x v="223"/>
    <x v="2"/>
    <s v="West Bengal"/>
    <x v="0"/>
    <s v="Printer"/>
    <x v="4"/>
    <x v="743"/>
    <n v="418.99"/>
    <n v="7"/>
    <x v="0"/>
    <s v="Anjali"/>
  </r>
  <r>
    <x v="746"/>
    <x v="136"/>
    <x v="1"/>
    <s v="Tamil Nadu"/>
    <x v="2"/>
    <s v="Chair"/>
    <x v="175"/>
    <x v="744"/>
    <n v="201.91"/>
    <n v="2"/>
    <x v="0"/>
    <s v="Rahul"/>
  </r>
  <r>
    <x v="747"/>
    <x v="190"/>
    <x v="3"/>
    <s v="Rajasthan"/>
    <x v="1"/>
    <s v="Pen"/>
    <x v="46"/>
    <x v="745"/>
    <n v="261.85000000000002"/>
    <n v="4"/>
    <x v="2"/>
    <s v="Rahul"/>
  </r>
  <r>
    <x v="748"/>
    <x v="3"/>
    <x v="3"/>
    <s v="Gujarat"/>
    <x v="0"/>
    <s v="Laptop"/>
    <x v="153"/>
    <x v="746"/>
    <n v="416.12"/>
    <n v="4"/>
    <x v="0"/>
    <s v="Rohit"/>
  </r>
  <r>
    <x v="749"/>
    <x v="56"/>
    <x v="0"/>
    <s v="Haryana"/>
    <x v="2"/>
    <s v="Table"/>
    <x v="168"/>
    <x v="747"/>
    <n v="658.95"/>
    <n v="6"/>
    <x v="2"/>
    <s v="Rahul"/>
  </r>
  <r>
    <x v="750"/>
    <x v="305"/>
    <x v="0"/>
    <s v="Haryana"/>
    <x v="1"/>
    <s v="Paper"/>
    <x v="45"/>
    <x v="748"/>
    <n v="162.74"/>
    <n v="8"/>
    <x v="1"/>
    <s v="Anjali"/>
  </r>
  <r>
    <x v="751"/>
    <x v="297"/>
    <x v="1"/>
    <s v="Karnataka"/>
    <x v="2"/>
    <s v="Table"/>
    <x v="68"/>
    <x v="749"/>
    <n v="45.61"/>
    <n v="4"/>
    <x v="1"/>
    <s v="Amit"/>
  </r>
  <r>
    <x v="752"/>
    <x v="175"/>
    <x v="0"/>
    <s v="Delhi"/>
    <x v="0"/>
    <s v="Printer"/>
    <x v="135"/>
    <x v="750"/>
    <n v="248.2"/>
    <n v="4"/>
    <x v="1"/>
    <s v="Rohit"/>
  </r>
  <r>
    <x v="753"/>
    <x v="16"/>
    <x v="3"/>
    <s v="Gujarat"/>
    <x v="2"/>
    <s v="Chair"/>
    <x v="81"/>
    <x v="751"/>
    <n v="85.88"/>
    <n v="2"/>
    <x v="1"/>
    <s v="Karan"/>
  </r>
  <r>
    <x v="754"/>
    <x v="187"/>
    <x v="3"/>
    <s v="Maharashtra"/>
    <x v="0"/>
    <s v="Laptop"/>
    <x v="35"/>
    <x v="752"/>
    <n v="507.99"/>
    <n v="5"/>
    <x v="2"/>
    <s v="Neha"/>
  </r>
  <r>
    <x v="755"/>
    <x v="54"/>
    <x v="3"/>
    <s v="Maharashtra"/>
    <x v="0"/>
    <s v="Laptop"/>
    <x v="153"/>
    <x v="753"/>
    <n v="562.85"/>
    <n v="4"/>
    <x v="0"/>
    <s v="Rohit"/>
  </r>
  <r>
    <x v="756"/>
    <x v="39"/>
    <x v="3"/>
    <s v="Maharashtra"/>
    <x v="0"/>
    <s v="Laptop"/>
    <x v="59"/>
    <x v="754"/>
    <n v="736.61"/>
    <n v="8"/>
    <x v="1"/>
    <s v="Neha"/>
  </r>
  <r>
    <x v="757"/>
    <x v="284"/>
    <x v="2"/>
    <s v="West Bengal"/>
    <x v="0"/>
    <s v="Printer"/>
    <x v="83"/>
    <x v="755"/>
    <n v="685.05"/>
    <n v="9"/>
    <x v="0"/>
    <s v="Neha"/>
  </r>
  <r>
    <x v="758"/>
    <x v="68"/>
    <x v="3"/>
    <s v="Rajasthan"/>
    <x v="1"/>
    <s v="Binder"/>
    <x v="12"/>
    <x v="756"/>
    <n v="1134.3399999999999"/>
    <n v="3"/>
    <x v="0"/>
    <s v="Anjali"/>
  </r>
  <r>
    <x v="759"/>
    <x v="306"/>
    <x v="2"/>
    <s v="Bihar"/>
    <x v="0"/>
    <s v="Laptop"/>
    <x v="58"/>
    <x v="757"/>
    <n v="807.82"/>
    <n v="7"/>
    <x v="2"/>
    <s v="Amit"/>
  </r>
  <r>
    <x v="760"/>
    <x v="69"/>
    <x v="2"/>
    <s v="West Bengal"/>
    <x v="0"/>
    <s v="Printer"/>
    <x v="162"/>
    <x v="758"/>
    <n v="171.05"/>
    <n v="6"/>
    <x v="0"/>
    <s v="Karan"/>
  </r>
  <r>
    <x v="761"/>
    <x v="305"/>
    <x v="2"/>
    <s v="West Bengal"/>
    <x v="0"/>
    <s v="Mouse"/>
    <x v="13"/>
    <x v="759"/>
    <n v="572.12"/>
    <n v="3"/>
    <x v="1"/>
    <s v="Rahul"/>
  </r>
  <r>
    <x v="762"/>
    <x v="62"/>
    <x v="3"/>
    <s v="Rajasthan"/>
    <x v="0"/>
    <s v="Laptop"/>
    <x v="35"/>
    <x v="760"/>
    <n v="812.9"/>
    <n v="1"/>
    <x v="0"/>
    <s v="Rohit"/>
  </r>
  <r>
    <x v="763"/>
    <x v="214"/>
    <x v="2"/>
    <s v="Odisha"/>
    <x v="0"/>
    <s v="Printer"/>
    <x v="82"/>
    <x v="761"/>
    <n v="63.36"/>
    <n v="8"/>
    <x v="2"/>
    <s v="Rahul"/>
  </r>
  <r>
    <x v="764"/>
    <x v="90"/>
    <x v="2"/>
    <s v="Bihar"/>
    <x v="1"/>
    <s v="Binder"/>
    <x v="119"/>
    <x v="762"/>
    <n v="297.95"/>
    <n v="10"/>
    <x v="1"/>
    <s v="Neha"/>
  </r>
  <r>
    <x v="765"/>
    <x v="230"/>
    <x v="2"/>
    <s v="West Bengal"/>
    <x v="1"/>
    <s v="Pen"/>
    <x v="173"/>
    <x v="763"/>
    <n v="182.86"/>
    <n v="4"/>
    <x v="2"/>
    <s v="Anjali"/>
  </r>
  <r>
    <x v="766"/>
    <x v="293"/>
    <x v="3"/>
    <s v="Maharashtra"/>
    <x v="2"/>
    <s v="Table"/>
    <x v="142"/>
    <x v="764"/>
    <n v="203.37"/>
    <n v="4"/>
    <x v="1"/>
    <s v="Anjali"/>
  </r>
  <r>
    <x v="767"/>
    <x v="127"/>
    <x v="1"/>
    <s v="Tamil Nadu"/>
    <x v="1"/>
    <s v="Binder"/>
    <x v="27"/>
    <x v="765"/>
    <n v="344.95"/>
    <n v="10"/>
    <x v="2"/>
    <s v="Priya"/>
  </r>
  <r>
    <x v="768"/>
    <x v="324"/>
    <x v="0"/>
    <s v="Delhi"/>
    <x v="2"/>
    <s v="Chair"/>
    <x v="18"/>
    <x v="766"/>
    <n v="171.48"/>
    <n v="7"/>
    <x v="0"/>
    <s v="Amit"/>
  </r>
  <r>
    <x v="769"/>
    <x v="24"/>
    <x v="2"/>
    <s v="Bihar"/>
    <x v="2"/>
    <s v="Chair"/>
    <x v="125"/>
    <x v="767"/>
    <n v="133.37"/>
    <n v="1"/>
    <x v="0"/>
    <s v="Priya"/>
  </r>
  <r>
    <x v="770"/>
    <x v="14"/>
    <x v="0"/>
    <s v="Haryana"/>
    <x v="0"/>
    <s v="Printer"/>
    <x v="158"/>
    <x v="768"/>
    <n v="891.24"/>
    <n v="3"/>
    <x v="0"/>
    <s v="Amit"/>
  </r>
  <r>
    <x v="771"/>
    <x v="239"/>
    <x v="0"/>
    <s v="Haryana"/>
    <x v="1"/>
    <s v="Paper"/>
    <x v="128"/>
    <x v="769"/>
    <n v="587.04"/>
    <n v="4"/>
    <x v="1"/>
    <s v="Neha"/>
  </r>
  <r>
    <x v="772"/>
    <x v="126"/>
    <x v="2"/>
    <s v="Odisha"/>
    <x v="1"/>
    <s v="Pen"/>
    <x v="146"/>
    <x v="770"/>
    <n v="311.36"/>
    <n v="1"/>
    <x v="1"/>
    <s v="Neha"/>
  </r>
  <r>
    <x v="773"/>
    <x v="214"/>
    <x v="0"/>
    <s v="Punjab"/>
    <x v="2"/>
    <s v="Bookcase"/>
    <x v="154"/>
    <x v="771"/>
    <n v="907.59"/>
    <n v="5"/>
    <x v="1"/>
    <s v="Neha"/>
  </r>
  <r>
    <x v="774"/>
    <x v="264"/>
    <x v="0"/>
    <s v="Punjab"/>
    <x v="0"/>
    <s v="Laptop"/>
    <x v="148"/>
    <x v="772"/>
    <n v="253.31"/>
    <n v="4"/>
    <x v="0"/>
    <s v="Sneha"/>
  </r>
  <r>
    <x v="775"/>
    <x v="325"/>
    <x v="0"/>
    <s v="Punjab"/>
    <x v="2"/>
    <s v="Bookcase"/>
    <x v="64"/>
    <x v="773"/>
    <n v="1079.8499999999999"/>
    <n v="4"/>
    <x v="0"/>
    <s v="Sneha"/>
  </r>
  <r>
    <x v="776"/>
    <x v="326"/>
    <x v="1"/>
    <s v="Tamil Nadu"/>
    <x v="0"/>
    <s v="Mouse"/>
    <x v="145"/>
    <x v="774"/>
    <n v="891.69"/>
    <n v="9"/>
    <x v="2"/>
    <s v="Rohit"/>
  </r>
  <r>
    <x v="777"/>
    <x v="230"/>
    <x v="3"/>
    <s v="Rajasthan"/>
    <x v="0"/>
    <s v="Printer"/>
    <x v="149"/>
    <x v="775"/>
    <n v="838.29"/>
    <n v="4"/>
    <x v="2"/>
    <s v="Neha"/>
  </r>
  <r>
    <x v="778"/>
    <x v="193"/>
    <x v="2"/>
    <s v="Odisha"/>
    <x v="2"/>
    <s v="Bookcase"/>
    <x v="156"/>
    <x v="776"/>
    <n v="1306.4000000000001"/>
    <n v="10"/>
    <x v="1"/>
    <s v="Rohit"/>
  </r>
  <r>
    <x v="779"/>
    <x v="216"/>
    <x v="0"/>
    <s v="Delhi"/>
    <x v="0"/>
    <s v="Printer"/>
    <x v="51"/>
    <x v="777"/>
    <n v="89.44"/>
    <n v="6"/>
    <x v="0"/>
    <s v="Sneha"/>
  </r>
  <r>
    <x v="780"/>
    <x v="125"/>
    <x v="1"/>
    <s v="Tamil Nadu"/>
    <x v="1"/>
    <s v="Paper"/>
    <x v="25"/>
    <x v="778"/>
    <n v="869.8"/>
    <n v="10"/>
    <x v="2"/>
    <s v="Neha"/>
  </r>
  <r>
    <x v="781"/>
    <x v="80"/>
    <x v="2"/>
    <s v="Odisha"/>
    <x v="0"/>
    <s v="Laptop"/>
    <x v="134"/>
    <x v="779"/>
    <n v="78.31"/>
    <n v="2"/>
    <x v="1"/>
    <s v="Karan"/>
  </r>
  <r>
    <x v="782"/>
    <x v="290"/>
    <x v="2"/>
    <s v="Bihar"/>
    <x v="2"/>
    <s v="Table"/>
    <x v="41"/>
    <x v="780"/>
    <n v="199.74"/>
    <n v="4"/>
    <x v="0"/>
    <s v="Anjali"/>
  </r>
  <r>
    <x v="783"/>
    <x v="327"/>
    <x v="1"/>
    <s v="Telangana"/>
    <x v="2"/>
    <s v="Table"/>
    <x v="178"/>
    <x v="781"/>
    <n v="58.3"/>
    <n v="8"/>
    <x v="0"/>
    <s v="Amit"/>
  </r>
  <r>
    <x v="784"/>
    <x v="89"/>
    <x v="2"/>
    <s v="Bihar"/>
    <x v="0"/>
    <s v="Laptop"/>
    <x v="96"/>
    <x v="782"/>
    <n v="379.85"/>
    <n v="4"/>
    <x v="0"/>
    <s v="Rahul"/>
  </r>
  <r>
    <x v="785"/>
    <x v="93"/>
    <x v="3"/>
    <s v="Rajasthan"/>
    <x v="2"/>
    <s v="Table"/>
    <x v="98"/>
    <x v="783"/>
    <n v="207.48"/>
    <n v="1"/>
    <x v="1"/>
    <s v="Rohit"/>
  </r>
  <r>
    <x v="786"/>
    <x v="76"/>
    <x v="2"/>
    <s v="Odisha"/>
    <x v="0"/>
    <s v="Laptop"/>
    <x v="163"/>
    <x v="784"/>
    <n v="1091.79"/>
    <n v="4"/>
    <x v="1"/>
    <s v="Neha"/>
  </r>
  <r>
    <x v="787"/>
    <x v="114"/>
    <x v="1"/>
    <s v="Tamil Nadu"/>
    <x v="1"/>
    <s v="Binder"/>
    <x v="119"/>
    <x v="785"/>
    <n v="635.53"/>
    <n v="10"/>
    <x v="1"/>
    <s v="Anjali"/>
  </r>
  <r>
    <x v="788"/>
    <x v="127"/>
    <x v="2"/>
    <s v="West Bengal"/>
    <x v="1"/>
    <s v="Paper"/>
    <x v="47"/>
    <x v="786"/>
    <n v="473.04"/>
    <n v="6"/>
    <x v="0"/>
    <s v="Sneha"/>
  </r>
  <r>
    <x v="789"/>
    <x v="27"/>
    <x v="0"/>
    <s v="Haryana"/>
    <x v="0"/>
    <s v="Laptop"/>
    <x v="67"/>
    <x v="787"/>
    <n v="413.41"/>
    <n v="2"/>
    <x v="1"/>
    <s v="Anjali"/>
  </r>
  <r>
    <x v="790"/>
    <x v="129"/>
    <x v="0"/>
    <s v="Haryana"/>
    <x v="0"/>
    <s v="Mouse"/>
    <x v="13"/>
    <x v="788"/>
    <n v="364.22"/>
    <n v="5"/>
    <x v="1"/>
    <s v="Anjali"/>
  </r>
  <r>
    <x v="791"/>
    <x v="205"/>
    <x v="1"/>
    <s v="Telangana"/>
    <x v="1"/>
    <s v="Paper"/>
    <x v="155"/>
    <x v="789"/>
    <n v="353.69"/>
    <n v="9"/>
    <x v="1"/>
    <s v="Rahul"/>
  </r>
  <r>
    <x v="792"/>
    <x v="328"/>
    <x v="2"/>
    <s v="West Bengal"/>
    <x v="2"/>
    <s v="Bookcase"/>
    <x v="150"/>
    <x v="790"/>
    <n v="858.99"/>
    <n v="2"/>
    <x v="2"/>
    <s v="Neha"/>
  </r>
  <r>
    <x v="793"/>
    <x v="221"/>
    <x v="1"/>
    <s v="Tamil Nadu"/>
    <x v="2"/>
    <s v="Chair"/>
    <x v="18"/>
    <x v="791"/>
    <n v="978.52"/>
    <n v="10"/>
    <x v="2"/>
    <s v="Priya"/>
  </r>
  <r>
    <x v="794"/>
    <x v="50"/>
    <x v="2"/>
    <s v="Odisha"/>
    <x v="0"/>
    <s v="Printer"/>
    <x v="51"/>
    <x v="792"/>
    <n v="1408.24"/>
    <n v="2"/>
    <x v="0"/>
    <s v="Priya"/>
  </r>
  <r>
    <x v="795"/>
    <x v="257"/>
    <x v="3"/>
    <s v="Maharashtra"/>
    <x v="0"/>
    <s v="Laptop"/>
    <x v="35"/>
    <x v="793"/>
    <n v="97.03"/>
    <n v="3"/>
    <x v="0"/>
    <s v="Anjali"/>
  </r>
  <r>
    <x v="796"/>
    <x v="162"/>
    <x v="0"/>
    <s v="Punjab"/>
    <x v="0"/>
    <s v="Mouse"/>
    <x v="26"/>
    <x v="794"/>
    <n v="273.41000000000003"/>
    <n v="9"/>
    <x v="0"/>
    <s v="Rohit"/>
  </r>
  <r>
    <x v="797"/>
    <x v="133"/>
    <x v="0"/>
    <s v="Haryana"/>
    <x v="2"/>
    <s v="Table"/>
    <x v="178"/>
    <x v="795"/>
    <n v="169.7"/>
    <n v="8"/>
    <x v="1"/>
    <s v="Anjali"/>
  </r>
  <r>
    <x v="798"/>
    <x v="69"/>
    <x v="3"/>
    <s v="Gujarat"/>
    <x v="1"/>
    <s v="Pen"/>
    <x v="133"/>
    <x v="796"/>
    <n v="157.31"/>
    <n v="2"/>
    <x v="2"/>
    <s v="Karan"/>
  </r>
  <r>
    <x v="799"/>
    <x v="43"/>
    <x v="1"/>
    <s v="Karnataka"/>
    <x v="0"/>
    <s v="Mouse"/>
    <x v="26"/>
    <x v="797"/>
    <n v="1023.27"/>
    <n v="6"/>
    <x v="2"/>
    <s v="Priya"/>
  </r>
  <r>
    <x v="800"/>
    <x v="329"/>
    <x v="2"/>
    <s v="Odisha"/>
    <x v="0"/>
    <s v="Laptop"/>
    <x v="134"/>
    <x v="798"/>
    <n v="596.44000000000005"/>
    <n v="9"/>
    <x v="2"/>
    <s v="Anjali"/>
  </r>
  <r>
    <x v="801"/>
    <x v="111"/>
    <x v="0"/>
    <s v="Delhi"/>
    <x v="0"/>
    <s v="Printer"/>
    <x v="160"/>
    <x v="799"/>
    <n v="815.16"/>
    <n v="3"/>
    <x v="0"/>
    <s v="Sneha"/>
  </r>
  <r>
    <x v="802"/>
    <x v="202"/>
    <x v="3"/>
    <s v="Rajasthan"/>
    <x v="1"/>
    <s v="Pen"/>
    <x v="88"/>
    <x v="800"/>
    <n v="426"/>
    <n v="6"/>
    <x v="1"/>
    <s v="Rohit"/>
  </r>
  <r>
    <x v="803"/>
    <x v="226"/>
    <x v="2"/>
    <s v="West Bengal"/>
    <x v="1"/>
    <s v="Paper"/>
    <x v="95"/>
    <x v="801"/>
    <n v="606.32000000000005"/>
    <n v="5"/>
    <x v="1"/>
    <s v="Rohit"/>
  </r>
  <r>
    <x v="804"/>
    <x v="26"/>
    <x v="3"/>
    <s v="Rajasthan"/>
    <x v="2"/>
    <s v="Table"/>
    <x v="61"/>
    <x v="802"/>
    <n v="599.4"/>
    <n v="7"/>
    <x v="2"/>
    <s v="Rahul"/>
  </r>
  <r>
    <x v="805"/>
    <x v="234"/>
    <x v="2"/>
    <s v="Bihar"/>
    <x v="0"/>
    <s v="Laptop"/>
    <x v="31"/>
    <x v="803"/>
    <n v="282.89"/>
    <n v="5"/>
    <x v="1"/>
    <s v="Amit"/>
  </r>
  <r>
    <x v="806"/>
    <x v="290"/>
    <x v="3"/>
    <s v="Gujarat"/>
    <x v="0"/>
    <s v="Printer"/>
    <x v="158"/>
    <x v="804"/>
    <n v="313.08999999999997"/>
    <n v="9"/>
    <x v="0"/>
    <s v="Neha"/>
  </r>
  <r>
    <x v="807"/>
    <x v="251"/>
    <x v="1"/>
    <s v="Tamil Nadu"/>
    <x v="0"/>
    <s v="Printer"/>
    <x v="15"/>
    <x v="805"/>
    <n v="83.49"/>
    <n v="6"/>
    <x v="2"/>
    <s v="Anjali"/>
  </r>
  <r>
    <x v="808"/>
    <x v="187"/>
    <x v="0"/>
    <s v="Delhi"/>
    <x v="1"/>
    <s v="Pen"/>
    <x v="138"/>
    <x v="806"/>
    <n v="52.9"/>
    <n v="2"/>
    <x v="2"/>
    <s v="Priya"/>
  </r>
  <r>
    <x v="809"/>
    <x v="306"/>
    <x v="1"/>
    <s v="Telangana"/>
    <x v="0"/>
    <s v="Mouse"/>
    <x v="174"/>
    <x v="807"/>
    <n v="1553.69"/>
    <n v="4"/>
    <x v="1"/>
    <s v="Anjali"/>
  </r>
  <r>
    <x v="810"/>
    <x v="328"/>
    <x v="1"/>
    <s v="Tamil Nadu"/>
    <x v="1"/>
    <s v="Paper"/>
    <x v="89"/>
    <x v="808"/>
    <n v="1287.21"/>
    <n v="5"/>
    <x v="2"/>
    <s v="Rahul"/>
  </r>
  <r>
    <x v="811"/>
    <x v="9"/>
    <x v="0"/>
    <s v="Delhi"/>
    <x v="1"/>
    <s v="Paper"/>
    <x v="63"/>
    <x v="809"/>
    <n v="553.85"/>
    <n v="6"/>
    <x v="0"/>
    <s v="Amit"/>
  </r>
  <r>
    <x v="812"/>
    <x v="49"/>
    <x v="0"/>
    <s v="Delhi"/>
    <x v="0"/>
    <s v="Printer"/>
    <x v="57"/>
    <x v="810"/>
    <n v="965.84"/>
    <n v="3"/>
    <x v="1"/>
    <s v="Karan"/>
  </r>
  <r>
    <x v="813"/>
    <x v="229"/>
    <x v="0"/>
    <s v="Delhi"/>
    <x v="2"/>
    <s v="Table"/>
    <x v="61"/>
    <x v="811"/>
    <n v="148.11000000000001"/>
    <n v="5"/>
    <x v="0"/>
    <s v="Rahul"/>
  </r>
  <r>
    <x v="814"/>
    <x v="24"/>
    <x v="3"/>
    <s v="Maharashtra"/>
    <x v="1"/>
    <s v="Pen"/>
    <x v="129"/>
    <x v="812"/>
    <n v="311.99"/>
    <n v="4"/>
    <x v="0"/>
    <s v="Rahul"/>
  </r>
  <r>
    <x v="815"/>
    <x v="74"/>
    <x v="1"/>
    <s v="Telangana"/>
    <x v="1"/>
    <s v="Pen"/>
    <x v="112"/>
    <x v="813"/>
    <n v="195.44"/>
    <n v="9"/>
    <x v="2"/>
    <s v="Neha"/>
  </r>
  <r>
    <x v="816"/>
    <x v="166"/>
    <x v="1"/>
    <s v="Telangana"/>
    <x v="2"/>
    <s v="Table"/>
    <x v="29"/>
    <x v="814"/>
    <n v="49.48"/>
    <n v="8"/>
    <x v="1"/>
    <s v="Rahul"/>
  </r>
  <r>
    <x v="817"/>
    <x v="95"/>
    <x v="1"/>
    <s v="Telangana"/>
    <x v="2"/>
    <s v="Bookcase"/>
    <x v="14"/>
    <x v="815"/>
    <n v="964.28"/>
    <n v="5"/>
    <x v="0"/>
    <s v="Neha"/>
  </r>
  <r>
    <x v="818"/>
    <x v="256"/>
    <x v="2"/>
    <s v="Bihar"/>
    <x v="0"/>
    <s v="Printer"/>
    <x v="15"/>
    <x v="816"/>
    <n v="194.27"/>
    <n v="6"/>
    <x v="1"/>
    <s v="Rahul"/>
  </r>
  <r>
    <x v="819"/>
    <x v="330"/>
    <x v="0"/>
    <s v="Punjab"/>
    <x v="1"/>
    <s v="Pen"/>
    <x v="152"/>
    <x v="817"/>
    <n v="71.19"/>
    <n v="6"/>
    <x v="1"/>
    <s v="Rohit"/>
  </r>
  <r>
    <x v="820"/>
    <x v="172"/>
    <x v="1"/>
    <s v="Tamil Nadu"/>
    <x v="2"/>
    <s v="Chair"/>
    <x v="80"/>
    <x v="818"/>
    <n v="327.75"/>
    <n v="5"/>
    <x v="2"/>
    <s v="Anjali"/>
  </r>
  <r>
    <x v="821"/>
    <x v="322"/>
    <x v="1"/>
    <s v="Karnataka"/>
    <x v="1"/>
    <s v="Paper"/>
    <x v="54"/>
    <x v="819"/>
    <n v="210.75"/>
    <n v="6"/>
    <x v="2"/>
    <s v="Sneha"/>
  </r>
  <r>
    <x v="822"/>
    <x v="37"/>
    <x v="1"/>
    <s v="Karnataka"/>
    <x v="1"/>
    <s v="Binder"/>
    <x v="144"/>
    <x v="820"/>
    <n v="566.96"/>
    <n v="7"/>
    <x v="0"/>
    <s v="Amit"/>
  </r>
  <r>
    <x v="823"/>
    <x v="79"/>
    <x v="2"/>
    <s v="Odisha"/>
    <x v="2"/>
    <s v="Bookcase"/>
    <x v="99"/>
    <x v="821"/>
    <n v="962.53"/>
    <n v="7"/>
    <x v="1"/>
    <s v="Anjali"/>
  </r>
  <r>
    <x v="824"/>
    <x v="57"/>
    <x v="3"/>
    <s v="Gujarat"/>
    <x v="2"/>
    <s v="Bookcase"/>
    <x v="38"/>
    <x v="822"/>
    <n v="251.08"/>
    <n v="7"/>
    <x v="0"/>
    <s v="Priya"/>
  </r>
  <r>
    <x v="825"/>
    <x v="182"/>
    <x v="1"/>
    <s v="Karnataka"/>
    <x v="1"/>
    <s v="Pen"/>
    <x v="129"/>
    <x v="823"/>
    <n v="161.47999999999999"/>
    <n v="2"/>
    <x v="2"/>
    <s v="Karan"/>
  </r>
  <r>
    <x v="826"/>
    <x v="180"/>
    <x v="2"/>
    <s v="Odisha"/>
    <x v="2"/>
    <s v="Table"/>
    <x v="76"/>
    <x v="824"/>
    <n v="1327.09"/>
    <n v="7"/>
    <x v="2"/>
    <s v="Sneha"/>
  </r>
  <r>
    <x v="827"/>
    <x v="137"/>
    <x v="3"/>
    <s v="Gujarat"/>
    <x v="1"/>
    <s v="Paper"/>
    <x v="141"/>
    <x v="825"/>
    <n v="218.5"/>
    <n v="10"/>
    <x v="1"/>
    <s v="Karan"/>
  </r>
  <r>
    <x v="828"/>
    <x v="77"/>
    <x v="0"/>
    <s v="Punjab"/>
    <x v="0"/>
    <s v="Mouse"/>
    <x v="113"/>
    <x v="826"/>
    <n v="80.94"/>
    <n v="4"/>
    <x v="1"/>
    <s v="Sneha"/>
  </r>
  <r>
    <x v="829"/>
    <x v="119"/>
    <x v="2"/>
    <s v="Odisha"/>
    <x v="1"/>
    <s v="Paper"/>
    <x v="47"/>
    <x v="827"/>
    <n v="198.36"/>
    <n v="6"/>
    <x v="0"/>
    <s v="Anjali"/>
  </r>
  <r>
    <x v="830"/>
    <x v="307"/>
    <x v="0"/>
    <s v="Delhi"/>
    <x v="2"/>
    <s v="Chair"/>
    <x v="175"/>
    <x v="828"/>
    <n v="164.22"/>
    <n v="5"/>
    <x v="2"/>
    <s v="Sneha"/>
  </r>
  <r>
    <x v="831"/>
    <x v="299"/>
    <x v="3"/>
    <s v="Maharashtra"/>
    <x v="1"/>
    <s v="Binder"/>
    <x v="136"/>
    <x v="829"/>
    <n v="395.19"/>
    <n v="8"/>
    <x v="2"/>
    <s v="Neha"/>
  </r>
  <r>
    <x v="832"/>
    <x v="286"/>
    <x v="3"/>
    <s v="Gujarat"/>
    <x v="0"/>
    <s v="Printer"/>
    <x v="149"/>
    <x v="830"/>
    <n v="482.35"/>
    <n v="9"/>
    <x v="2"/>
    <s v="Amit"/>
  </r>
  <r>
    <x v="833"/>
    <x v="67"/>
    <x v="1"/>
    <s v="Telangana"/>
    <x v="2"/>
    <s v="Table"/>
    <x v="168"/>
    <x v="831"/>
    <n v="655.26"/>
    <n v="5"/>
    <x v="2"/>
    <s v="Rohit"/>
  </r>
  <r>
    <x v="834"/>
    <x v="248"/>
    <x v="0"/>
    <s v="Haryana"/>
    <x v="1"/>
    <s v="Binder"/>
    <x v="50"/>
    <x v="832"/>
    <n v="228.09"/>
    <n v="1"/>
    <x v="0"/>
    <s v="Neha"/>
  </r>
  <r>
    <x v="835"/>
    <x v="38"/>
    <x v="2"/>
    <s v="West Bengal"/>
    <x v="1"/>
    <s v="Paper"/>
    <x v="45"/>
    <x v="833"/>
    <n v="1043.54"/>
    <n v="7"/>
    <x v="0"/>
    <s v="Rohit"/>
  </r>
  <r>
    <x v="836"/>
    <x v="23"/>
    <x v="3"/>
    <s v="Gujarat"/>
    <x v="1"/>
    <s v="Binder"/>
    <x v="136"/>
    <x v="834"/>
    <n v="380.62"/>
    <n v="8"/>
    <x v="2"/>
    <s v="Rahul"/>
  </r>
  <r>
    <x v="837"/>
    <x v="198"/>
    <x v="3"/>
    <s v="Gujarat"/>
    <x v="1"/>
    <s v="Binder"/>
    <x v="171"/>
    <x v="835"/>
    <n v="594.6"/>
    <n v="5"/>
    <x v="0"/>
    <s v="Anjali"/>
  </r>
  <r>
    <x v="838"/>
    <x v="84"/>
    <x v="1"/>
    <s v="Tamil Nadu"/>
    <x v="0"/>
    <s v="Mouse"/>
    <x v="100"/>
    <x v="836"/>
    <n v="400.42"/>
    <n v="10"/>
    <x v="1"/>
    <s v="Anjali"/>
  </r>
  <r>
    <x v="839"/>
    <x v="331"/>
    <x v="0"/>
    <s v="Delhi"/>
    <x v="2"/>
    <s v="Table"/>
    <x v="9"/>
    <x v="837"/>
    <n v="326.94"/>
    <n v="8"/>
    <x v="0"/>
    <s v="Amit"/>
  </r>
  <r>
    <x v="840"/>
    <x v="258"/>
    <x v="2"/>
    <s v="West Bengal"/>
    <x v="1"/>
    <s v="Pen"/>
    <x v="132"/>
    <x v="838"/>
    <n v="340.43"/>
    <n v="3"/>
    <x v="1"/>
    <s v="Amit"/>
  </r>
  <r>
    <x v="841"/>
    <x v="19"/>
    <x v="0"/>
    <s v="Punjab"/>
    <x v="2"/>
    <s v="Bookcase"/>
    <x v="103"/>
    <x v="839"/>
    <n v="340.69"/>
    <n v="10"/>
    <x v="0"/>
    <s v="Amit"/>
  </r>
  <r>
    <x v="842"/>
    <x v="332"/>
    <x v="0"/>
    <s v="Delhi"/>
    <x v="0"/>
    <s v="Mouse"/>
    <x v="92"/>
    <x v="840"/>
    <n v="730.76"/>
    <n v="2"/>
    <x v="1"/>
    <s v="Anjali"/>
  </r>
  <r>
    <x v="843"/>
    <x v="147"/>
    <x v="2"/>
    <s v="West Bengal"/>
    <x v="1"/>
    <s v="Paper"/>
    <x v="143"/>
    <x v="841"/>
    <n v="254.29"/>
    <n v="7"/>
    <x v="0"/>
    <s v="Neha"/>
  </r>
  <r>
    <x v="844"/>
    <x v="21"/>
    <x v="2"/>
    <s v="West Bengal"/>
    <x v="1"/>
    <s v="Paper"/>
    <x v="95"/>
    <x v="842"/>
    <n v="832.88"/>
    <n v="5"/>
    <x v="0"/>
    <s v="Sneha"/>
  </r>
  <r>
    <x v="845"/>
    <x v="207"/>
    <x v="3"/>
    <s v="Gujarat"/>
    <x v="2"/>
    <s v="Bookcase"/>
    <x v="90"/>
    <x v="843"/>
    <n v="815.86"/>
    <n v="4"/>
    <x v="1"/>
    <s v="Rahul"/>
  </r>
  <r>
    <x v="846"/>
    <x v="66"/>
    <x v="2"/>
    <s v="West Bengal"/>
    <x v="2"/>
    <s v="Table"/>
    <x v="97"/>
    <x v="844"/>
    <n v="257.49"/>
    <n v="7"/>
    <x v="1"/>
    <s v="Karan"/>
  </r>
  <r>
    <x v="847"/>
    <x v="212"/>
    <x v="3"/>
    <s v="Gujarat"/>
    <x v="2"/>
    <s v="Bookcase"/>
    <x v="150"/>
    <x v="845"/>
    <n v="67.209999999999994"/>
    <n v="7"/>
    <x v="1"/>
    <s v="Anjali"/>
  </r>
  <r>
    <x v="848"/>
    <x v="306"/>
    <x v="2"/>
    <s v="Odisha"/>
    <x v="0"/>
    <s v="Mouse"/>
    <x v="17"/>
    <x v="846"/>
    <n v="192.46"/>
    <n v="10"/>
    <x v="1"/>
    <s v="Rahul"/>
  </r>
  <r>
    <x v="849"/>
    <x v="152"/>
    <x v="1"/>
    <s v="Karnataka"/>
    <x v="2"/>
    <s v="Chair"/>
    <x v="79"/>
    <x v="847"/>
    <n v="363.42"/>
    <n v="10"/>
    <x v="0"/>
    <s v="Neha"/>
  </r>
  <r>
    <x v="850"/>
    <x v="249"/>
    <x v="2"/>
    <s v="West Bengal"/>
    <x v="0"/>
    <s v="Mouse"/>
    <x v="78"/>
    <x v="848"/>
    <n v="201.72"/>
    <n v="3"/>
    <x v="1"/>
    <s v="Sneha"/>
  </r>
  <r>
    <x v="851"/>
    <x v="30"/>
    <x v="3"/>
    <s v="Rajasthan"/>
    <x v="0"/>
    <s v="Printer"/>
    <x v="36"/>
    <x v="849"/>
    <n v="61.9"/>
    <n v="6"/>
    <x v="1"/>
    <s v="Priya"/>
  </r>
  <r>
    <x v="852"/>
    <x v="279"/>
    <x v="3"/>
    <s v="Maharashtra"/>
    <x v="1"/>
    <s v="Binder"/>
    <x v="144"/>
    <x v="850"/>
    <n v="58.29"/>
    <n v="1"/>
    <x v="1"/>
    <s v="Karan"/>
  </r>
  <r>
    <x v="853"/>
    <x v="260"/>
    <x v="3"/>
    <s v="Gujarat"/>
    <x v="0"/>
    <s v="Printer"/>
    <x v="135"/>
    <x v="851"/>
    <n v="93.83"/>
    <n v="2"/>
    <x v="1"/>
    <s v="Priya"/>
  </r>
  <r>
    <x v="854"/>
    <x v="120"/>
    <x v="1"/>
    <s v="Telangana"/>
    <x v="2"/>
    <s v="Bookcase"/>
    <x v="150"/>
    <x v="852"/>
    <n v="781.36"/>
    <n v="10"/>
    <x v="2"/>
    <s v="Rohit"/>
  </r>
  <r>
    <x v="855"/>
    <x v="313"/>
    <x v="3"/>
    <s v="Maharashtra"/>
    <x v="0"/>
    <s v="Laptop"/>
    <x v="58"/>
    <x v="853"/>
    <n v="70.239999999999995"/>
    <n v="8"/>
    <x v="0"/>
    <s v="Anjali"/>
  </r>
  <r>
    <x v="856"/>
    <x v="40"/>
    <x v="0"/>
    <s v="Haryana"/>
    <x v="2"/>
    <s v="Bookcase"/>
    <x v="72"/>
    <x v="854"/>
    <n v="34.74"/>
    <n v="8"/>
    <x v="1"/>
    <s v="Amit"/>
  </r>
  <r>
    <x v="857"/>
    <x v="217"/>
    <x v="2"/>
    <s v="Bihar"/>
    <x v="0"/>
    <s v="Laptop"/>
    <x v="48"/>
    <x v="855"/>
    <n v="921.81"/>
    <n v="3"/>
    <x v="1"/>
    <s v="Karan"/>
  </r>
  <r>
    <x v="858"/>
    <x v="101"/>
    <x v="0"/>
    <s v="Punjab"/>
    <x v="0"/>
    <s v="Mouse"/>
    <x v="10"/>
    <x v="856"/>
    <n v="57.84"/>
    <n v="2"/>
    <x v="2"/>
    <s v="Sneha"/>
  </r>
  <r>
    <x v="859"/>
    <x v="91"/>
    <x v="3"/>
    <s v="Maharashtra"/>
    <x v="1"/>
    <s v="Binder"/>
    <x v="117"/>
    <x v="857"/>
    <n v="653.09"/>
    <n v="2"/>
    <x v="0"/>
    <s v="Anjali"/>
  </r>
  <r>
    <x v="860"/>
    <x v="317"/>
    <x v="2"/>
    <s v="Odisha"/>
    <x v="1"/>
    <s v="Binder"/>
    <x v="140"/>
    <x v="858"/>
    <n v="549.16999999999996"/>
    <n v="9"/>
    <x v="1"/>
    <s v="Karan"/>
  </r>
  <r>
    <x v="861"/>
    <x v="258"/>
    <x v="2"/>
    <s v="Bihar"/>
    <x v="0"/>
    <s v="Printer"/>
    <x v="4"/>
    <x v="859"/>
    <n v="468.19"/>
    <n v="3"/>
    <x v="0"/>
    <s v="Sneha"/>
  </r>
  <r>
    <x v="862"/>
    <x v="333"/>
    <x v="2"/>
    <s v="West Bengal"/>
    <x v="2"/>
    <s v="Bookcase"/>
    <x v="72"/>
    <x v="860"/>
    <n v="874.48"/>
    <n v="1"/>
    <x v="0"/>
    <s v="Priya"/>
  </r>
  <r>
    <x v="863"/>
    <x v="203"/>
    <x v="0"/>
    <s v="Haryana"/>
    <x v="2"/>
    <s v="Chair"/>
    <x v="169"/>
    <x v="861"/>
    <n v="419.75"/>
    <n v="8"/>
    <x v="2"/>
    <s v="Amit"/>
  </r>
  <r>
    <x v="864"/>
    <x v="169"/>
    <x v="0"/>
    <s v="Delhi"/>
    <x v="0"/>
    <s v="Printer"/>
    <x v="116"/>
    <x v="862"/>
    <n v="696.72"/>
    <n v="9"/>
    <x v="1"/>
    <s v="Rohit"/>
  </r>
  <r>
    <x v="865"/>
    <x v="138"/>
    <x v="0"/>
    <s v="Punjab"/>
    <x v="1"/>
    <s v="Pen"/>
    <x v="133"/>
    <x v="863"/>
    <n v="1339.73"/>
    <n v="7"/>
    <x v="2"/>
    <s v="Rahul"/>
  </r>
  <r>
    <x v="866"/>
    <x v="181"/>
    <x v="3"/>
    <s v="Gujarat"/>
    <x v="2"/>
    <s v="Bookcase"/>
    <x v="103"/>
    <x v="864"/>
    <n v="315.87"/>
    <n v="8"/>
    <x v="2"/>
    <s v="Amit"/>
  </r>
  <r>
    <x v="867"/>
    <x v="334"/>
    <x v="3"/>
    <s v="Rajasthan"/>
    <x v="0"/>
    <s v="Printer"/>
    <x v="160"/>
    <x v="865"/>
    <n v="208.08"/>
    <n v="3"/>
    <x v="0"/>
    <s v="Sneha"/>
  </r>
  <r>
    <x v="868"/>
    <x v="328"/>
    <x v="0"/>
    <s v="Haryana"/>
    <x v="0"/>
    <s v="Laptop"/>
    <x v="148"/>
    <x v="866"/>
    <n v="20.55"/>
    <n v="6"/>
    <x v="2"/>
    <s v="Neha"/>
  </r>
  <r>
    <x v="869"/>
    <x v="86"/>
    <x v="3"/>
    <s v="Gujarat"/>
    <x v="1"/>
    <s v="Binder"/>
    <x v="75"/>
    <x v="867"/>
    <n v="780.66"/>
    <n v="5"/>
    <x v="2"/>
    <s v="Amit"/>
  </r>
  <r>
    <x v="870"/>
    <x v="176"/>
    <x v="0"/>
    <s v="Punjab"/>
    <x v="1"/>
    <s v="Binder"/>
    <x v="144"/>
    <x v="868"/>
    <n v="257.62"/>
    <n v="6"/>
    <x v="1"/>
    <s v="Anjali"/>
  </r>
  <r>
    <x v="871"/>
    <x v="60"/>
    <x v="0"/>
    <s v="Delhi"/>
    <x v="1"/>
    <s v="Paper"/>
    <x v="25"/>
    <x v="869"/>
    <n v="840.35"/>
    <n v="1"/>
    <x v="1"/>
    <s v="Priya"/>
  </r>
  <r>
    <x v="872"/>
    <x v="287"/>
    <x v="0"/>
    <s v="Delhi"/>
    <x v="1"/>
    <s v="Pen"/>
    <x v="28"/>
    <x v="870"/>
    <n v="213.77"/>
    <n v="3"/>
    <x v="0"/>
    <s v="Amit"/>
  </r>
  <r>
    <x v="873"/>
    <x v="63"/>
    <x v="3"/>
    <s v="Gujarat"/>
    <x v="2"/>
    <s v="Table"/>
    <x v="178"/>
    <x v="871"/>
    <n v="565.02"/>
    <n v="6"/>
    <x v="1"/>
    <s v="Anjali"/>
  </r>
  <r>
    <x v="874"/>
    <x v="29"/>
    <x v="1"/>
    <s v="Karnataka"/>
    <x v="2"/>
    <s v="Bookcase"/>
    <x v="72"/>
    <x v="872"/>
    <n v="1181.7"/>
    <n v="6"/>
    <x v="2"/>
    <s v="Karan"/>
  </r>
  <r>
    <x v="875"/>
    <x v="43"/>
    <x v="0"/>
    <s v="Delhi"/>
    <x v="1"/>
    <s v="Binder"/>
    <x v="23"/>
    <x v="873"/>
    <n v="623.32000000000005"/>
    <n v="2"/>
    <x v="2"/>
    <s v="Amit"/>
  </r>
  <r>
    <x v="876"/>
    <x v="180"/>
    <x v="1"/>
    <s v="Telangana"/>
    <x v="2"/>
    <s v="Table"/>
    <x v="98"/>
    <x v="874"/>
    <n v="328.44"/>
    <n v="7"/>
    <x v="1"/>
    <s v="Priya"/>
  </r>
  <r>
    <x v="877"/>
    <x v="64"/>
    <x v="3"/>
    <s v="Gujarat"/>
    <x v="2"/>
    <s v="Chair"/>
    <x v="18"/>
    <x v="875"/>
    <n v="1065.42"/>
    <n v="8"/>
    <x v="2"/>
    <s v="Priya"/>
  </r>
  <r>
    <x v="878"/>
    <x v="163"/>
    <x v="2"/>
    <s v="West Bengal"/>
    <x v="1"/>
    <s v="Pen"/>
    <x v="133"/>
    <x v="876"/>
    <n v="229.15"/>
    <n v="6"/>
    <x v="0"/>
    <s v="Amit"/>
  </r>
  <r>
    <x v="879"/>
    <x v="193"/>
    <x v="0"/>
    <s v="Haryana"/>
    <x v="0"/>
    <s v="Mouse"/>
    <x v="26"/>
    <x v="877"/>
    <n v="102.46"/>
    <n v="2"/>
    <x v="0"/>
    <s v="Neha"/>
  </r>
  <r>
    <x v="880"/>
    <x v="65"/>
    <x v="3"/>
    <s v="Maharashtra"/>
    <x v="2"/>
    <s v="Table"/>
    <x v="9"/>
    <x v="878"/>
    <n v="465.88"/>
    <n v="7"/>
    <x v="2"/>
    <s v="Priya"/>
  </r>
  <r>
    <x v="881"/>
    <x v="166"/>
    <x v="3"/>
    <s v="Gujarat"/>
    <x v="0"/>
    <s v="Mouse"/>
    <x v="26"/>
    <x v="879"/>
    <n v="94.95"/>
    <n v="7"/>
    <x v="2"/>
    <s v="Rahul"/>
  </r>
  <r>
    <x v="882"/>
    <x v="265"/>
    <x v="3"/>
    <s v="Maharashtra"/>
    <x v="0"/>
    <s v="Mouse"/>
    <x v="2"/>
    <x v="880"/>
    <n v="1282.77"/>
    <n v="1"/>
    <x v="2"/>
    <s v="Amit"/>
  </r>
  <r>
    <x v="883"/>
    <x v="334"/>
    <x v="1"/>
    <s v="Tamil Nadu"/>
    <x v="1"/>
    <s v="Pen"/>
    <x v="37"/>
    <x v="881"/>
    <n v="155.03"/>
    <n v="1"/>
    <x v="1"/>
    <s v="Rohit"/>
  </r>
  <r>
    <x v="884"/>
    <x v="101"/>
    <x v="0"/>
    <s v="Delhi"/>
    <x v="1"/>
    <s v="Pen"/>
    <x v="42"/>
    <x v="882"/>
    <n v="347.85"/>
    <n v="4"/>
    <x v="2"/>
    <s v="Karan"/>
  </r>
  <r>
    <x v="885"/>
    <x v="335"/>
    <x v="1"/>
    <s v="Karnataka"/>
    <x v="2"/>
    <s v="Bookcase"/>
    <x v="72"/>
    <x v="883"/>
    <n v="229.25"/>
    <n v="10"/>
    <x v="1"/>
    <s v="Priya"/>
  </r>
  <r>
    <x v="886"/>
    <x v="219"/>
    <x v="0"/>
    <s v="Delhi"/>
    <x v="0"/>
    <s v="Laptop"/>
    <x v="20"/>
    <x v="884"/>
    <n v="956.14"/>
    <n v="4"/>
    <x v="1"/>
    <s v="Anjali"/>
  </r>
  <r>
    <x v="887"/>
    <x v="118"/>
    <x v="3"/>
    <s v="Maharashtra"/>
    <x v="2"/>
    <s v="Bookcase"/>
    <x v="99"/>
    <x v="885"/>
    <n v="352.77"/>
    <n v="9"/>
    <x v="1"/>
    <s v="Karan"/>
  </r>
  <r>
    <x v="888"/>
    <x v="216"/>
    <x v="2"/>
    <s v="Bihar"/>
    <x v="0"/>
    <s v="Mouse"/>
    <x v="145"/>
    <x v="886"/>
    <n v="233.99"/>
    <n v="9"/>
    <x v="1"/>
    <s v="Sneha"/>
  </r>
  <r>
    <x v="889"/>
    <x v="237"/>
    <x v="2"/>
    <s v="Odisha"/>
    <x v="1"/>
    <s v="Pen"/>
    <x v="176"/>
    <x v="887"/>
    <n v="368.59"/>
    <n v="6"/>
    <x v="1"/>
    <s v="Amit"/>
  </r>
  <r>
    <x v="890"/>
    <x v="18"/>
    <x v="0"/>
    <s v="Punjab"/>
    <x v="2"/>
    <s v="Chair"/>
    <x v="77"/>
    <x v="888"/>
    <n v="277.93"/>
    <n v="1"/>
    <x v="0"/>
    <s v="Anjali"/>
  </r>
  <r>
    <x v="891"/>
    <x v="336"/>
    <x v="0"/>
    <s v="Haryana"/>
    <x v="2"/>
    <s v="Table"/>
    <x v="147"/>
    <x v="889"/>
    <n v="1006.71"/>
    <n v="5"/>
    <x v="2"/>
    <s v="Karan"/>
  </r>
  <r>
    <x v="892"/>
    <x v="331"/>
    <x v="2"/>
    <s v="West Bengal"/>
    <x v="2"/>
    <s v="Table"/>
    <x v="33"/>
    <x v="890"/>
    <n v="80.349999999999994"/>
    <n v="3"/>
    <x v="1"/>
    <s v="Amit"/>
  </r>
  <r>
    <x v="893"/>
    <x v="143"/>
    <x v="2"/>
    <s v="West Bengal"/>
    <x v="2"/>
    <s v="Table"/>
    <x v="142"/>
    <x v="891"/>
    <n v="753.57"/>
    <n v="3"/>
    <x v="2"/>
    <s v="Rohit"/>
  </r>
  <r>
    <x v="894"/>
    <x v="84"/>
    <x v="1"/>
    <s v="Tamil Nadu"/>
    <x v="1"/>
    <s v="Pen"/>
    <x v="52"/>
    <x v="892"/>
    <n v="930.87"/>
    <n v="6"/>
    <x v="2"/>
    <s v="Sneha"/>
  </r>
  <r>
    <x v="895"/>
    <x v="319"/>
    <x v="3"/>
    <s v="Rajasthan"/>
    <x v="0"/>
    <s v="Printer"/>
    <x v="57"/>
    <x v="893"/>
    <n v="593.57000000000005"/>
    <n v="10"/>
    <x v="1"/>
    <s v="Anjali"/>
  </r>
  <r>
    <x v="896"/>
    <x v="337"/>
    <x v="1"/>
    <s v="Karnataka"/>
    <x v="2"/>
    <s v="Table"/>
    <x v="97"/>
    <x v="894"/>
    <n v="1385.63"/>
    <n v="9"/>
    <x v="0"/>
    <s v="Rahul"/>
  </r>
  <r>
    <x v="897"/>
    <x v="49"/>
    <x v="2"/>
    <s v="Odisha"/>
    <x v="0"/>
    <s v="Printer"/>
    <x v="51"/>
    <x v="895"/>
    <n v="1131.95"/>
    <n v="7"/>
    <x v="0"/>
    <s v="Sneha"/>
  </r>
  <r>
    <x v="898"/>
    <x v="196"/>
    <x v="2"/>
    <s v="West Bengal"/>
    <x v="2"/>
    <s v="Chair"/>
    <x v="77"/>
    <x v="896"/>
    <n v="330.92"/>
    <n v="6"/>
    <x v="2"/>
    <s v="Sneha"/>
  </r>
  <r>
    <x v="899"/>
    <x v="88"/>
    <x v="0"/>
    <s v="Haryana"/>
    <x v="0"/>
    <s v="Laptop"/>
    <x v="35"/>
    <x v="897"/>
    <n v="1588.43"/>
    <n v="9"/>
    <x v="0"/>
    <s v="Neha"/>
  </r>
  <r>
    <x v="900"/>
    <x v="217"/>
    <x v="1"/>
    <s v="Tamil Nadu"/>
    <x v="0"/>
    <s v="Mouse"/>
    <x v="100"/>
    <x v="898"/>
    <n v="120.76"/>
    <n v="4"/>
    <x v="2"/>
    <s v="Rohit"/>
  </r>
  <r>
    <x v="901"/>
    <x v="301"/>
    <x v="2"/>
    <s v="West Bengal"/>
    <x v="2"/>
    <s v="Bookcase"/>
    <x v="103"/>
    <x v="899"/>
    <n v="144.44999999999999"/>
    <n v="4"/>
    <x v="2"/>
    <s v="Sneha"/>
  </r>
  <r>
    <x v="902"/>
    <x v="301"/>
    <x v="1"/>
    <s v="Tamil Nadu"/>
    <x v="2"/>
    <s v="Bookcase"/>
    <x v="109"/>
    <x v="900"/>
    <n v="176.88"/>
    <n v="8"/>
    <x v="1"/>
    <s v="Sneha"/>
  </r>
  <r>
    <x v="903"/>
    <x v="78"/>
    <x v="0"/>
    <s v="Punjab"/>
    <x v="0"/>
    <s v="Printer"/>
    <x v="83"/>
    <x v="901"/>
    <n v="304.39"/>
    <n v="8"/>
    <x v="1"/>
    <s v="Karan"/>
  </r>
  <r>
    <x v="904"/>
    <x v="37"/>
    <x v="0"/>
    <s v="Haryana"/>
    <x v="0"/>
    <s v="Laptop"/>
    <x v="39"/>
    <x v="902"/>
    <n v="400.67"/>
    <n v="5"/>
    <x v="1"/>
    <s v="Priya"/>
  </r>
  <r>
    <x v="905"/>
    <x v="2"/>
    <x v="1"/>
    <s v="Telangana"/>
    <x v="1"/>
    <s v="Pen"/>
    <x v="42"/>
    <x v="903"/>
    <n v="51.56"/>
    <n v="10"/>
    <x v="0"/>
    <s v="Amit"/>
  </r>
  <r>
    <x v="906"/>
    <x v="304"/>
    <x v="2"/>
    <s v="Odisha"/>
    <x v="1"/>
    <s v="Pen"/>
    <x v="176"/>
    <x v="904"/>
    <n v="158.11000000000001"/>
    <n v="7"/>
    <x v="1"/>
    <s v="Amit"/>
  </r>
  <r>
    <x v="907"/>
    <x v="100"/>
    <x v="1"/>
    <s v="Karnataka"/>
    <x v="2"/>
    <s v="Table"/>
    <x v="76"/>
    <x v="905"/>
    <n v="208.37"/>
    <n v="8"/>
    <x v="2"/>
    <s v="Priya"/>
  </r>
  <r>
    <x v="908"/>
    <x v="322"/>
    <x v="3"/>
    <s v="Rajasthan"/>
    <x v="1"/>
    <s v="Pen"/>
    <x v="112"/>
    <x v="906"/>
    <n v="542.54"/>
    <n v="9"/>
    <x v="2"/>
    <s v="Rohit"/>
  </r>
  <r>
    <x v="909"/>
    <x v="97"/>
    <x v="0"/>
    <s v="Haryana"/>
    <x v="1"/>
    <s v="Pen"/>
    <x v="173"/>
    <x v="907"/>
    <n v="690.05"/>
    <n v="3"/>
    <x v="1"/>
    <s v="Priya"/>
  </r>
  <r>
    <x v="910"/>
    <x v="338"/>
    <x v="2"/>
    <s v="West Bengal"/>
    <x v="2"/>
    <s v="Table"/>
    <x v="94"/>
    <x v="908"/>
    <n v="352"/>
    <n v="10"/>
    <x v="2"/>
    <s v="Rohit"/>
  </r>
  <r>
    <x v="911"/>
    <x v="15"/>
    <x v="3"/>
    <s v="Maharashtra"/>
    <x v="0"/>
    <s v="Mouse"/>
    <x v="145"/>
    <x v="909"/>
    <n v="215.41"/>
    <n v="9"/>
    <x v="2"/>
    <s v="Rohit"/>
  </r>
  <r>
    <x v="912"/>
    <x v="79"/>
    <x v="2"/>
    <s v="West Bengal"/>
    <x v="1"/>
    <s v="Binder"/>
    <x v="119"/>
    <x v="910"/>
    <n v="407.2"/>
    <n v="8"/>
    <x v="1"/>
    <s v="Amit"/>
  </r>
  <r>
    <x v="913"/>
    <x v="209"/>
    <x v="3"/>
    <s v="Maharashtra"/>
    <x v="2"/>
    <s v="Bookcase"/>
    <x v="156"/>
    <x v="911"/>
    <n v="1249.18"/>
    <n v="6"/>
    <x v="0"/>
    <s v="Amit"/>
  </r>
  <r>
    <x v="914"/>
    <x v="319"/>
    <x v="2"/>
    <s v="Odisha"/>
    <x v="0"/>
    <s v="Laptop"/>
    <x v="96"/>
    <x v="912"/>
    <n v="55.27"/>
    <n v="10"/>
    <x v="2"/>
    <s v="Priya"/>
  </r>
  <r>
    <x v="915"/>
    <x v="270"/>
    <x v="3"/>
    <s v="Gujarat"/>
    <x v="1"/>
    <s v="Binder"/>
    <x v="121"/>
    <x v="913"/>
    <n v="19.02"/>
    <n v="6"/>
    <x v="1"/>
    <s v="Anjali"/>
  </r>
  <r>
    <x v="916"/>
    <x v="109"/>
    <x v="3"/>
    <s v="Maharashtra"/>
    <x v="2"/>
    <s v="Chair"/>
    <x v="79"/>
    <x v="914"/>
    <n v="535.79999999999995"/>
    <n v="9"/>
    <x v="2"/>
    <s v="Karan"/>
  </r>
  <r>
    <x v="917"/>
    <x v="179"/>
    <x v="1"/>
    <s v="Telangana"/>
    <x v="1"/>
    <s v="Paper"/>
    <x v="111"/>
    <x v="915"/>
    <n v="289.32"/>
    <n v="7"/>
    <x v="2"/>
    <s v="Rahul"/>
  </r>
  <r>
    <x v="918"/>
    <x v="264"/>
    <x v="0"/>
    <s v="Haryana"/>
    <x v="1"/>
    <s v="Binder"/>
    <x v="75"/>
    <x v="916"/>
    <n v="382.03"/>
    <n v="8"/>
    <x v="2"/>
    <s v="Sneha"/>
  </r>
  <r>
    <x v="919"/>
    <x v="254"/>
    <x v="3"/>
    <s v="Maharashtra"/>
    <x v="2"/>
    <s v="Chair"/>
    <x v="151"/>
    <x v="917"/>
    <n v="174.03"/>
    <n v="7"/>
    <x v="1"/>
    <s v="Neha"/>
  </r>
  <r>
    <x v="920"/>
    <x v="267"/>
    <x v="3"/>
    <s v="Rajasthan"/>
    <x v="0"/>
    <s v="Printer"/>
    <x v="82"/>
    <x v="918"/>
    <n v="269.24"/>
    <n v="4"/>
    <x v="2"/>
    <s v="Anjali"/>
  </r>
  <r>
    <x v="921"/>
    <x v="244"/>
    <x v="1"/>
    <s v="Telangana"/>
    <x v="2"/>
    <s v="Chair"/>
    <x v="172"/>
    <x v="919"/>
    <n v="643.39"/>
    <n v="9"/>
    <x v="0"/>
    <s v="Rohit"/>
  </r>
  <r>
    <x v="922"/>
    <x v="261"/>
    <x v="1"/>
    <s v="Karnataka"/>
    <x v="1"/>
    <s v="Pen"/>
    <x v="132"/>
    <x v="920"/>
    <n v="348.2"/>
    <n v="8"/>
    <x v="0"/>
    <s v="Anjali"/>
  </r>
  <r>
    <x v="923"/>
    <x v="224"/>
    <x v="2"/>
    <s v="Bihar"/>
    <x v="2"/>
    <s v="Chair"/>
    <x v="120"/>
    <x v="921"/>
    <n v="818.75"/>
    <n v="8"/>
    <x v="2"/>
    <s v="Amit"/>
  </r>
  <r>
    <x v="924"/>
    <x v="26"/>
    <x v="3"/>
    <s v="Gujarat"/>
    <x v="1"/>
    <s v="Binder"/>
    <x v="140"/>
    <x v="922"/>
    <n v="138.03"/>
    <n v="6"/>
    <x v="2"/>
    <s v="Neha"/>
  </r>
  <r>
    <x v="925"/>
    <x v="325"/>
    <x v="1"/>
    <s v="Telangana"/>
    <x v="2"/>
    <s v="Table"/>
    <x v="41"/>
    <x v="923"/>
    <n v="199.77"/>
    <n v="8"/>
    <x v="2"/>
    <s v="Priya"/>
  </r>
  <r>
    <x v="926"/>
    <x v="189"/>
    <x v="3"/>
    <s v="Rajasthan"/>
    <x v="2"/>
    <s v="Bookcase"/>
    <x v="156"/>
    <x v="924"/>
    <n v="383.15"/>
    <n v="9"/>
    <x v="0"/>
    <s v="Priya"/>
  </r>
  <r>
    <x v="927"/>
    <x v="339"/>
    <x v="2"/>
    <s v="West Bengal"/>
    <x v="0"/>
    <s v="Mouse"/>
    <x v="123"/>
    <x v="925"/>
    <n v="831.5"/>
    <n v="5"/>
    <x v="1"/>
    <s v="Rahul"/>
  </r>
  <r>
    <x v="928"/>
    <x v="60"/>
    <x v="0"/>
    <s v="Delhi"/>
    <x v="2"/>
    <s v="Bookcase"/>
    <x v="102"/>
    <x v="926"/>
    <n v="321.73"/>
    <n v="4"/>
    <x v="2"/>
    <s v="Sneha"/>
  </r>
  <r>
    <x v="929"/>
    <x v="237"/>
    <x v="2"/>
    <s v="Bihar"/>
    <x v="2"/>
    <s v="Table"/>
    <x v="131"/>
    <x v="927"/>
    <n v="20.010000000000002"/>
    <n v="3"/>
    <x v="1"/>
    <s v="Amit"/>
  </r>
  <r>
    <x v="930"/>
    <x v="284"/>
    <x v="0"/>
    <s v="Haryana"/>
    <x v="2"/>
    <s v="Table"/>
    <x v="76"/>
    <x v="928"/>
    <n v="218.72"/>
    <n v="5"/>
    <x v="2"/>
    <s v="Priya"/>
  </r>
  <r>
    <x v="931"/>
    <x v="171"/>
    <x v="0"/>
    <s v="Haryana"/>
    <x v="0"/>
    <s v="Laptop"/>
    <x v="0"/>
    <x v="929"/>
    <n v="261.97000000000003"/>
    <n v="7"/>
    <x v="0"/>
    <s v="Amit"/>
  </r>
  <r>
    <x v="932"/>
    <x v="229"/>
    <x v="3"/>
    <s v="Gujarat"/>
    <x v="2"/>
    <s v="Bookcase"/>
    <x v="150"/>
    <x v="930"/>
    <n v="244.22"/>
    <n v="4"/>
    <x v="1"/>
    <s v="Rahul"/>
  </r>
  <r>
    <x v="933"/>
    <x v="188"/>
    <x v="0"/>
    <s v="Delhi"/>
    <x v="2"/>
    <s v="Table"/>
    <x v="142"/>
    <x v="931"/>
    <n v="1078.55"/>
    <n v="3"/>
    <x v="2"/>
    <s v="Priya"/>
  </r>
  <r>
    <x v="934"/>
    <x v="90"/>
    <x v="3"/>
    <s v="Maharashtra"/>
    <x v="2"/>
    <s v="Chair"/>
    <x v="120"/>
    <x v="932"/>
    <n v="804.36"/>
    <n v="7"/>
    <x v="1"/>
    <s v="Karan"/>
  </r>
  <r>
    <x v="935"/>
    <x v="171"/>
    <x v="3"/>
    <s v="Gujarat"/>
    <x v="2"/>
    <s v="Table"/>
    <x v="16"/>
    <x v="933"/>
    <n v="631.77"/>
    <n v="6"/>
    <x v="0"/>
    <s v="Rohit"/>
  </r>
  <r>
    <x v="936"/>
    <x v="340"/>
    <x v="1"/>
    <s v="Telangana"/>
    <x v="1"/>
    <s v="Binder"/>
    <x v="12"/>
    <x v="934"/>
    <n v="607.63"/>
    <n v="8"/>
    <x v="1"/>
    <s v="Amit"/>
  </r>
  <r>
    <x v="937"/>
    <x v="244"/>
    <x v="0"/>
    <s v="Haryana"/>
    <x v="1"/>
    <s v="Binder"/>
    <x v="23"/>
    <x v="935"/>
    <n v="744.35"/>
    <n v="1"/>
    <x v="1"/>
    <s v="Amit"/>
  </r>
  <r>
    <x v="938"/>
    <x v="81"/>
    <x v="2"/>
    <s v="Bihar"/>
    <x v="1"/>
    <s v="Paper"/>
    <x v="95"/>
    <x v="936"/>
    <n v="506.58"/>
    <n v="10"/>
    <x v="2"/>
    <s v="Priya"/>
  </r>
  <r>
    <x v="939"/>
    <x v="145"/>
    <x v="3"/>
    <s v="Gujarat"/>
    <x v="0"/>
    <s v="Printer"/>
    <x v="126"/>
    <x v="937"/>
    <n v="229.05"/>
    <n v="9"/>
    <x v="2"/>
    <s v="Neha"/>
  </r>
  <r>
    <x v="940"/>
    <x v="90"/>
    <x v="1"/>
    <s v="Karnataka"/>
    <x v="0"/>
    <s v="Laptop"/>
    <x v="39"/>
    <x v="938"/>
    <n v="693.7"/>
    <n v="9"/>
    <x v="0"/>
    <s v="Anjali"/>
  </r>
  <r>
    <x v="941"/>
    <x v="55"/>
    <x v="3"/>
    <s v="Maharashtra"/>
    <x v="2"/>
    <s v="Bookcase"/>
    <x v="102"/>
    <x v="939"/>
    <n v="608.25"/>
    <n v="10"/>
    <x v="0"/>
    <s v="Rohit"/>
  </r>
  <r>
    <x v="942"/>
    <x v="144"/>
    <x v="1"/>
    <s v="Telangana"/>
    <x v="2"/>
    <s v="Table"/>
    <x v="131"/>
    <x v="940"/>
    <n v="1514.5"/>
    <n v="7"/>
    <x v="1"/>
    <s v="Rahul"/>
  </r>
  <r>
    <x v="943"/>
    <x v="219"/>
    <x v="1"/>
    <s v="Telangana"/>
    <x v="2"/>
    <s v="Chair"/>
    <x v="80"/>
    <x v="941"/>
    <n v="778.47"/>
    <n v="8"/>
    <x v="1"/>
    <s v="Priya"/>
  </r>
  <r>
    <x v="944"/>
    <x v="38"/>
    <x v="0"/>
    <s v="Punjab"/>
    <x v="2"/>
    <s v="Bookcase"/>
    <x v="122"/>
    <x v="942"/>
    <n v="537.52"/>
    <n v="1"/>
    <x v="2"/>
    <s v="Rohit"/>
  </r>
  <r>
    <x v="945"/>
    <x v="223"/>
    <x v="2"/>
    <s v="Bihar"/>
    <x v="2"/>
    <s v="Chair"/>
    <x v="77"/>
    <x v="943"/>
    <n v="73.05"/>
    <n v="9"/>
    <x v="0"/>
    <s v="Karan"/>
  </r>
  <r>
    <x v="946"/>
    <x v="341"/>
    <x v="3"/>
    <s v="Gujarat"/>
    <x v="0"/>
    <s v="Laptop"/>
    <x v="163"/>
    <x v="944"/>
    <n v="1403.61"/>
    <n v="7"/>
    <x v="0"/>
    <s v="Priya"/>
  </r>
  <r>
    <x v="947"/>
    <x v="319"/>
    <x v="1"/>
    <s v="Tamil Nadu"/>
    <x v="1"/>
    <s v="Pen"/>
    <x v="132"/>
    <x v="945"/>
    <n v="310.12"/>
    <n v="3"/>
    <x v="1"/>
    <s v="Amit"/>
  </r>
  <r>
    <x v="948"/>
    <x v="336"/>
    <x v="0"/>
    <s v="Haryana"/>
    <x v="2"/>
    <s v="Bookcase"/>
    <x v="86"/>
    <x v="946"/>
    <n v="484.97"/>
    <n v="3"/>
    <x v="1"/>
    <s v="Karan"/>
  </r>
  <r>
    <x v="949"/>
    <x v="215"/>
    <x v="3"/>
    <s v="Maharashtra"/>
    <x v="1"/>
    <s v="Binder"/>
    <x v="119"/>
    <x v="947"/>
    <n v="797.61"/>
    <n v="6"/>
    <x v="2"/>
    <s v="Priya"/>
  </r>
  <r>
    <x v="950"/>
    <x v="56"/>
    <x v="0"/>
    <s v="Delhi"/>
    <x v="2"/>
    <s v="Chair"/>
    <x v="115"/>
    <x v="948"/>
    <n v="872.79"/>
    <n v="9"/>
    <x v="2"/>
    <s v="Priya"/>
  </r>
  <r>
    <x v="951"/>
    <x v="304"/>
    <x v="1"/>
    <s v="Tamil Nadu"/>
    <x v="0"/>
    <s v="Printer"/>
    <x v="57"/>
    <x v="949"/>
    <n v="297.29000000000002"/>
    <n v="3"/>
    <x v="2"/>
    <s v="Amit"/>
  </r>
  <r>
    <x v="952"/>
    <x v="312"/>
    <x v="1"/>
    <s v="Tamil Nadu"/>
    <x v="2"/>
    <s v="Bookcase"/>
    <x v="72"/>
    <x v="950"/>
    <n v="62.89"/>
    <n v="8"/>
    <x v="2"/>
    <s v="Rahul"/>
  </r>
  <r>
    <x v="953"/>
    <x v="236"/>
    <x v="2"/>
    <s v="Odisha"/>
    <x v="1"/>
    <s v="Pen"/>
    <x v="24"/>
    <x v="951"/>
    <n v="175.2"/>
    <n v="9"/>
    <x v="2"/>
    <s v="Karan"/>
  </r>
  <r>
    <x v="954"/>
    <x v="306"/>
    <x v="2"/>
    <s v="Bihar"/>
    <x v="2"/>
    <s v="Chair"/>
    <x v="77"/>
    <x v="952"/>
    <n v="1515.82"/>
    <n v="8"/>
    <x v="2"/>
    <s v="Rahul"/>
  </r>
  <r>
    <x v="955"/>
    <x v="24"/>
    <x v="0"/>
    <s v="Punjab"/>
    <x v="0"/>
    <s v="Laptop"/>
    <x v="148"/>
    <x v="953"/>
    <n v="194.66"/>
    <n v="10"/>
    <x v="1"/>
    <s v="Karan"/>
  </r>
  <r>
    <x v="956"/>
    <x v="3"/>
    <x v="3"/>
    <s v="Maharashtra"/>
    <x v="1"/>
    <s v="Paper"/>
    <x v="25"/>
    <x v="954"/>
    <n v="1079.43"/>
    <n v="8"/>
    <x v="2"/>
    <s v="Priya"/>
  </r>
  <r>
    <x v="957"/>
    <x v="301"/>
    <x v="0"/>
    <s v="Delhi"/>
    <x v="1"/>
    <s v="Paper"/>
    <x v="47"/>
    <x v="955"/>
    <n v="673.71"/>
    <n v="9"/>
    <x v="1"/>
    <s v="Neha"/>
  </r>
  <r>
    <x v="958"/>
    <x v="53"/>
    <x v="2"/>
    <s v="Bihar"/>
    <x v="2"/>
    <s v="Table"/>
    <x v="168"/>
    <x v="956"/>
    <n v="494.03"/>
    <n v="5"/>
    <x v="2"/>
    <s v="Anjali"/>
  </r>
  <r>
    <x v="959"/>
    <x v="18"/>
    <x v="2"/>
    <s v="Bihar"/>
    <x v="1"/>
    <s v="Paper"/>
    <x v="101"/>
    <x v="957"/>
    <n v="422.52"/>
    <n v="1"/>
    <x v="2"/>
    <s v="Rohit"/>
  </r>
  <r>
    <x v="960"/>
    <x v="329"/>
    <x v="1"/>
    <s v="Tamil Nadu"/>
    <x v="1"/>
    <s v="Binder"/>
    <x v="12"/>
    <x v="958"/>
    <n v="499.17"/>
    <n v="2"/>
    <x v="0"/>
    <s v="Rahul"/>
  </r>
  <r>
    <x v="961"/>
    <x v="115"/>
    <x v="2"/>
    <s v="Bihar"/>
    <x v="1"/>
    <s v="Binder"/>
    <x v="144"/>
    <x v="959"/>
    <n v="909.06"/>
    <n v="1"/>
    <x v="0"/>
    <s v="Neha"/>
  </r>
  <r>
    <x v="962"/>
    <x v="163"/>
    <x v="3"/>
    <s v="Maharashtra"/>
    <x v="2"/>
    <s v="Table"/>
    <x v="33"/>
    <x v="960"/>
    <n v="777.87"/>
    <n v="4"/>
    <x v="0"/>
    <s v="Karan"/>
  </r>
  <r>
    <x v="963"/>
    <x v="224"/>
    <x v="0"/>
    <s v="Punjab"/>
    <x v="1"/>
    <s v="Pen"/>
    <x v="88"/>
    <x v="961"/>
    <n v="87.45"/>
    <n v="3"/>
    <x v="2"/>
    <s v="Sneha"/>
  </r>
  <r>
    <x v="964"/>
    <x v="197"/>
    <x v="2"/>
    <s v="West Bengal"/>
    <x v="2"/>
    <s v="Chair"/>
    <x v="172"/>
    <x v="962"/>
    <n v="897.71"/>
    <n v="8"/>
    <x v="1"/>
    <s v="Priya"/>
  </r>
  <r>
    <x v="965"/>
    <x v="55"/>
    <x v="3"/>
    <s v="Gujarat"/>
    <x v="1"/>
    <s v="Binder"/>
    <x v="12"/>
    <x v="963"/>
    <n v="222.9"/>
    <n v="6"/>
    <x v="2"/>
    <s v="Anjali"/>
  </r>
  <r>
    <x v="966"/>
    <x v="342"/>
    <x v="1"/>
    <s v="Tamil Nadu"/>
    <x v="2"/>
    <s v="Bookcase"/>
    <x v="122"/>
    <x v="964"/>
    <n v="102.9"/>
    <n v="4"/>
    <x v="2"/>
    <s v="Anjali"/>
  </r>
  <r>
    <x v="967"/>
    <x v="71"/>
    <x v="1"/>
    <s v="Karnataka"/>
    <x v="2"/>
    <s v="Bookcase"/>
    <x v="93"/>
    <x v="965"/>
    <n v="292.82"/>
    <n v="5"/>
    <x v="2"/>
    <s v="Sneha"/>
  </r>
  <r>
    <x v="968"/>
    <x v="295"/>
    <x v="3"/>
    <s v="Gujarat"/>
    <x v="1"/>
    <s v="Paper"/>
    <x v="73"/>
    <x v="966"/>
    <n v="993.38"/>
    <n v="10"/>
    <x v="0"/>
    <s v="Priya"/>
  </r>
  <r>
    <x v="969"/>
    <x v="306"/>
    <x v="1"/>
    <s v="Karnataka"/>
    <x v="1"/>
    <s v="Paper"/>
    <x v="45"/>
    <x v="967"/>
    <n v="170.46"/>
    <n v="7"/>
    <x v="2"/>
    <s v="Rohit"/>
  </r>
  <r>
    <x v="970"/>
    <x v="343"/>
    <x v="2"/>
    <s v="Odisha"/>
    <x v="2"/>
    <s v="Bookcase"/>
    <x v="99"/>
    <x v="968"/>
    <n v="77.56"/>
    <n v="1"/>
    <x v="2"/>
    <s v="Anjali"/>
  </r>
  <r>
    <x v="971"/>
    <x v="44"/>
    <x v="2"/>
    <s v="Odisha"/>
    <x v="0"/>
    <s v="Mouse"/>
    <x v="123"/>
    <x v="969"/>
    <n v="499.5"/>
    <n v="4"/>
    <x v="1"/>
    <s v="Neha"/>
  </r>
  <r>
    <x v="972"/>
    <x v="101"/>
    <x v="0"/>
    <s v="Haryana"/>
    <x v="0"/>
    <s v="Laptop"/>
    <x v="20"/>
    <x v="970"/>
    <n v="1218.79"/>
    <n v="7"/>
    <x v="2"/>
    <s v="Amit"/>
  </r>
  <r>
    <x v="973"/>
    <x v="243"/>
    <x v="1"/>
    <s v="Tamil Nadu"/>
    <x v="2"/>
    <s v="Bookcase"/>
    <x v="122"/>
    <x v="971"/>
    <n v="402.77"/>
    <n v="8"/>
    <x v="2"/>
    <s v="Neha"/>
  </r>
  <r>
    <x v="974"/>
    <x v="252"/>
    <x v="3"/>
    <s v="Maharashtra"/>
    <x v="2"/>
    <s v="Chair"/>
    <x v="125"/>
    <x v="972"/>
    <n v="182.21"/>
    <n v="4"/>
    <x v="2"/>
    <s v="Priya"/>
  </r>
  <r>
    <x v="975"/>
    <x v="316"/>
    <x v="3"/>
    <s v="Gujarat"/>
    <x v="1"/>
    <s v="Pen"/>
    <x v="152"/>
    <x v="973"/>
    <n v="139.19"/>
    <n v="5"/>
    <x v="2"/>
    <s v="Anjali"/>
  </r>
  <r>
    <x v="976"/>
    <x v="338"/>
    <x v="0"/>
    <s v="Delhi"/>
    <x v="1"/>
    <s v="Binder"/>
    <x v="30"/>
    <x v="974"/>
    <n v="338.17"/>
    <n v="6"/>
    <x v="0"/>
    <s v="Priya"/>
  </r>
  <r>
    <x v="977"/>
    <x v="232"/>
    <x v="2"/>
    <s v="West Bengal"/>
    <x v="2"/>
    <s v="Chair"/>
    <x v="115"/>
    <x v="975"/>
    <n v="173.64"/>
    <n v="3"/>
    <x v="2"/>
    <s v="Rahul"/>
  </r>
  <r>
    <x v="978"/>
    <x v="194"/>
    <x v="0"/>
    <s v="Haryana"/>
    <x v="2"/>
    <s v="Chair"/>
    <x v="115"/>
    <x v="976"/>
    <n v="641.16999999999996"/>
    <n v="4"/>
    <x v="1"/>
    <s v="Anjali"/>
  </r>
  <r>
    <x v="979"/>
    <x v="40"/>
    <x v="0"/>
    <s v="Delhi"/>
    <x v="1"/>
    <s v="Paper"/>
    <x v="167"/>
    <x v="977"/>
    <n v="538.99"/>
    <n v="7"/>
    <x v="1"/>
    <s v="Amit"/>
  </r>
  <r>
    <x v="980"/>
    <x v="185"/>
    <x v="3"/>
    <s v="Gujarat"/>
    <x v="1"/>
    <s v="Pen"/>
    <x v="132"/>
    <x v="978"/>
    <n v="322.18"/>
    <n v="5"/>
    <x v="0"/>
    <s v="Sneha"/>
  </r>
  <r>
    <x v="981"/>
    <x v="192"/>
    <x v="3"/>
    <s v="Rajasthan"/>
    <x v="0"/>
    <s v="Printer"/>
    <x v="160"/>
    <x v="979"/>
    <n v="138.99"/>
    <n v="6"/>
    <x v="1"/>
    <s v="Rahul"/>
  </r>
  <r>
    <x v="982"/>
    <x v="266"/>
    <x v="1"/>
    <s v="Telangana"/>
    <x v="0"/>
    <s v="Printer"/>
    <x v="116"/>
    <x v="980"/>
    <n v="1175.94"/>
    <n v="8"/>
    <x v="1"/>
    <s v="Sneha"/>
  </r>
  <r>
    <x v="983"/>
    <x v="50"/>
    <x v="2"/>
    <s v="Odisha"/>
    <x v="1"/>
    <s v="Binder"/>
    <x v="171"/>
    <x v="981"/>
    <n v="219.94"/>
    <n v="5"/>
    <x v="1"/>
    <s v="Amit"/>
  </r>
  <r>
    <x v="984"/>
    <x v="344"/>
    <x v="1"/>
    <s v="Karnataka"/>
    <x v="1"/>
    <s v="Pen"/>
    <x v="129"/>
    <x v="982"/>
    <n v="333.84"/>
    <n v="8"/>
    <x v="1"/>
    <s v="Rohit"/>
  </r>
  <r>
    <x v="985"/>
    <x v="237"/>
    <x v="0"/>
    <s v="Delhi"/>
    <x v="2"/>
    <s v="Bookcase"/>
    <x v="55"/>
    <x v="983"/>
    <n v="648.55999999999995"/>
    <n v="10"/>
    <x v="2"/>
    <s v="Neha"/>
  </r>
  <r>
    <x v="986"/>
    <x v="205"/>
    <x v="3"/>
    <s v="Maharashtra"/>
    <x v="2"/>
    <s v="Chair"/>
    <x v="125"/>
    <x v="984"/>
    <n v="845.94"/>
    <n v="2"/>
    <x v="0"/>
    <s v="Anjali"/>
  </r>
  <r>
    <x v="987"/>
    <x v="332"/>
    <x v="1"/>
    <s v="Tamil Nadu"/>
    <x v="1"/>
    <s v="Paper"/>
    <x v="25"/>
    <x v="985"/>
    <n v="1077.6300000000001"/>
    <n v="2"/>
    <x v="0"/>
    <s v="Neha"/>
  </r>
  <r>
    <x v="988"/>
    <x v="283"/>
    <x v="0"/>
    <s v="Punjab"/>
    <x v="1"/>
    <s v="Paper"/>
    <x v="95"/>
    <x v="986"/>
    <n v="120.96"/>
    <n v="7"/>
    <x v="0"/>
    <s v="Rohit"/>
  </r>
  <r>
    <x v="989"/>
    <x v="345"/>
    <x v="0"/>
    <s v="Punjab"/>
    <x v="0"/>
    <s v="Printer"/>
    <x v="5"/>
    <x v="987"/>
    <n v="1538.01"/>
    <n v="3"/>
    <x v="0"/>
    <s v="Rahul"/>
  </r>
  <r>
    <x v="990"/>
    <x v="253"/>
    <x v="0"/>
    <s v="Punjab"/>
    <x v="0"/>
    <s v="Laptop"/>
    <x v="148"/>
    <x v="988"/>
    <n v="722.84"/>
    <n v="10"/>
    <x v="2"/>
    <s v="Rahul"/>
  </r>
  <r>
    <x v="991"/>
    <x v="105"/>
    <x v="3"/>
    <s v="Rajasthan"/>
    <x v="2"/>
    <s v="Table"/>
    <x v="9"/>
    <x v="989"/>
    <n v="1448.75"/>
    <n v="8"/>
    <x v="1"/>
    <s v="Priya"/>
  </r>
  <r>
    <x v="992"/>
    <x v="263"/>
    <x v="3"/>
    <s v="Gujarat"/>
    <x v="2"/>
    <s v="Chair"/>
    <x v="80"/>
    <x v="990"/>
    <n v="132.86000000000001"/>
    <n v="2"/>
    <x v="2"/>
    <s v="Rohit"/>
  </r>
  <r>
    <x v="993"/>
    <x v="259"/>
    <x v="2"/>
    <s v="Bihar"/>
    <x v="0"/>
    <s v="Printer"/>
    <x v="137"/>
    <x v="991"/>
    <n v="306.47000000000003"/>
    <n v="5"/>
    <x v="0"/>
    <s v="Rohit"/>
  </r>
  <r>
    <x v="994"/>
    <x v="258"/>
    <x v="3"/>
    <s v="Rajasthan"/>
    <x v="2"/>
    <s v="Table"/>
    <x v="98"/>
    <x v="992"/>
    <n v="490.23"/>
    <n v="7"/>
    <x v="0"/>
    <s v="Rahul"/>
  </r>
  <r>
    <x v="995"/>
    <x v="218"/>
    <x v="0"/>
    <s v="Punjab"/>
    <x v="1"/>
    <s v="Binder"/>
    <x v="164"/>
    <x v="993"/>
    <n v="177.16"/>
    <n v="4"/>
    <x v="2"/>
    <s v="Rahul"/>
  </r>
  <r>
    <x v="996"/>
    <x v="319"/>
    <x v="0"/>
    <s v="Punjab"/>
    <x v="1"/>
    <s v="Pen"/>
    <x v="132"/>
    <x v="994"/>
    <n v="616.08000000000004"/>
    <n v="6"/>
    <x v="0"/>
    <s v="Anjali"/>
  </r>
  <r>
    <x v="997"/>
    <x v="150"/>
    <x v="3"/>
    <s v="Maharashtra"/>
    <x v="2"/>
    <s v="Bookcase"/>
    <x v="99"/>
    <x v="995"/>
    <n v="1462.19"/>
    <n v="2"/>
    <x v="0"/>
    <s v="Neha"/>
  </r>
  <r>
    <x v="998"/>
    <x v="209"/>
    <x v="3"/>
    <s v="Gujarat"/>
    <x v="0"/>
    <s v="Mouse"/>
    <x v="123"/>
    <x v="996"/>
    <n v="496.49"/>
    <n v="9"/>
    <x v="1"/>
    <s v="Amit"/>
  </r>
  <r>
    <x v="999"/>
    <x v="213"/>
    <x v="2"/>
    <s v="West Bengal"/>
    <x v="2"/>
    <s v="Bookcase"/>
    <x v="156"/>
    <x v="997"/>
    <n v="1039.44"/>
    <n v="8"/>
    <x v="1"/>
    <s v="Am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B9E21-A042-4B92-A8CA-A38084BC5553}"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2"/>
        <item x="0"/>
        <item x="1"/>
        <item x="3"/>
        <item t="default"/>
      </items>
    </pivotField>
    <pivotField showAll="0"/>
    <pivotField showAll="0">
      <items count="4">
        <item x="2"/>
        <item x="1"/>
        <item x="0"/>
        <item t="default"/>
      </items>
    </pivotField>
    <pivotField showAll="0"/>
    <pivotField showAll="0"/>
    <pivotField dataField="1" showAll="0"/>
    <pivotField dataField="1" showAll="0"/>
    <pivotField dataField="1" showAll="0"/>
    <pivotField showAll="0">
      <items count="4">
        <item x="1"/>
        <item x="2"/>
        <item x="0"/>
        <item t="default"/>
      </items>
    </pivotField>
    <pivotField showAll="0"/>
  </pivotFields>
  <rowItems count="1">
    <i/>
  </rowItems>
  <colFields count="1">
    <field x="-2"/>
  </colFields>
  <colItems count="6">
    <i>
      <x/>
    </i>
    <i i="1">
      <x v="1"/>
    </i>
    <i i="2">
      <x v="2"/>
    </i>
    <i i="3">
      <x v="3"/>
    </i>
    <i i="4">
      <x v="4"/>
    </i>
    <i i="5">
      <x v="5"/>
    </i>
  </colItems>
  <dataFields count="6">
    <dataField name="Average of Sales" fld="7" subtotal="average" baseField="0" baseItem="1"/>
    <dataField name="Average of Profit" fld="8" subtotal="average" baseField="0" baseItem="1"/>
    <dataField name="Sum of Sales" fld="7" baseField="0" baseItem="0"/>
    <dataField name="Count of Order ID" fld="0" subtotal="count" baseField="0" baseItem="0"/>
    <dataField name="Sum of Profit" fld="8" baseField="0" baseItem="0"/>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C086B-1034-4C34-97D3-17AE56296E22}"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2">
    <pivotField showAll="0"/>
    <pivotField showAll="0"/>
    <pivotField axis="axisRow" showAll="0">
      <items count="5">
        <item x="2"/>
        <item x="0"/>
        <item x="1"/>
        <item x="3"/>
        <item t="default"/>
      </items>
    </pivotField>
    <pivotField showAll="0"/>
    <pivotField showAll="0">
      <items count="4">
        <item x="2"/>
        <item x="1"/>
        <item x="0"/>
        <item t="default"/>
      </items>
    </pivotField>
    <pivotField showAll="0"/>
    <pivotField showAll="0"/>
    <pivotField showAll="0"/>
    <pivotField dataField="1" showAll="0"/>
    <pivotField showAll="0"/>
    <pivotField showAll="0">
      <items count="4">
        <item x="1"/>
        <item x="2"/>
        <item x="0"/>
        <item t="default"/>
      </items>
    </pivotField>
    <pivotField showAll="0"/>
  </pivotFields>
  <rowFields count="1">
    <field x="2"/>
  </rowFields>
  <rowItems count="5">
    <i>
      <x/>
    </i>
    <i>
      <x v="1"/>
    </i>
    <i>
      <x v="2"/>
    </i>
    <i>
      <x v="3"/>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8F054-E8D6-4187-8BAF-0D5E2103429D}"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2">
    <pivotField showAll="0"/>
    <pivotField showAll="0"/>
    <pivotField showAll="0">
      <items count="5">
        <item x="2"/>
        <item x="0"/>
        <item x="1"/>
        <item x="3"/>
        <item t="default"/>
      </items>
    </pivotField>
    <pivotField showAll="0"/>
    <pivotField showAll="0">
      <items count="4">
        <item x="2"/>
        <item x="1"/>
        <item x="0"/>
        <item t="default"/>
      </items>
    </pivotField>
    <pivotField showAll="0"/>
    <pivotField axis="axisRow" showAll="0" measureFilter="1">
      <items count="180">
        <item x="117"/>
        <item x="23"/>
        <item x="50"/>
        <item x="44"/>
        <item x="164"/>
        <item x="71"/>
        <item x="27"/>
        <item x="130"/>
        <item x="157"/>
        <item x="121"/>
        <item x="144"/>
        <item x="53"/>
        <item x="12"/>
        <item x="171"/>
        <item x="119"/>
        <item x="140"/>
        <item x="75"/>
        <item x="30"/>
        <item x="85"/>
        <item x="136"/>
        <item x="55"/>
        <item x="109"/>
        <item x="86"/>
        <item x="14"/>
        <item x="64"/>
        <item x="150"/>
        <item x="154"/>
        <item x="38"/>
        <item x="99"/>
        <item x="107"/>
        <item x="93"/>
        <item x="62"/>
        <item x="122"/>
        <item x="84"/>
        <item x="102"/>
        <item x="166"/>
        <item x="72"/>
        <item x="156"/>
        <item x="90"/>
        <item x="103"/>
        <item x="151"/>
        <item x="125"/>
        <item x="70"/>
        <item x="118"/>
        <item x="175"/>
        <item x="77"/>
        <item x="161"/>
        <item x="18"/>
        <item x="115"/>
        <item x="40"/>
        <item x="80"/>
        <item x="165"/>
        <item x="169"/>
        <item x="79"/>
        <item x="172"/>
        <item x="11"/>
        <item x="22"/>
        <item x="81"/>
        <item x="120"/>
        <item x="56"/>
        <item x="134"/>
        <item x="39"/>
        <item x="59"/>
        <item x="153"/>
        <item x="110"/>
        <item x="127"/>
        <item x="69"/>
        <item x="58"/>
        <item x="96"/>
        <item x="67"/>
        <item x="48"/>
        <item x="74"/>
        <item x="148"/>
        <item x="31"/>
        <item x="20"/>
        <item x="91"/>
        <item x="163"/>
        <item x="35"/>
        <item x="0"/>
        <item x="159"/>
        <item x="113"/>
        <item x="3"/>
        <item x="78"/>
        <item x="2"/>
        <item x="10"/>
        <item x="92"/>
        <item x="114"/>
        <item x="6"/>
        <item x="100"/>
        <item x="17"/>
        <item x="174"/>
        <item x="139"/>
        <item x="13"/>
        <item x="177"/>
        <item x="145"/>
        <item x="8"/>
        <item x="26"/>
        <item x="170"/>
        <item x="123"/>
        <item x="108"/>
        <item x="63"/>
        <item x="143"/>
        <item x="73"/>
        <item x="89"/>
        <item x="155"/>
        <item x="45"/>
        <item x="111"/>
        <item x="95"/>
        <item x="34"/>
        <item x="141"/>
        <item x="128"/>
        <item x="25"/>
        <item x="47"/>
        <item x="19"/>
        <item x="101"/>
        <item x="49"/>
        <item x="167"/>
        <item x="1"/>
        <item x="106"/>
        <item x="54"/>
        <item x="21"/>
        <item x="60"/>
        <item x="152"/>
        <item x="24"/>
        <item x="42"/>
        <item x="88"/>
        <item x="104"/>
        <item x="132"/>
        <item x="65"/>
        <item x="176"/>
        <item x="52"/>
        <item x="133"/>
        <item x="112"/>
        <item x="129"/>
        <item x="173"/>
        <item x="138"/>
        <item x="46"/>
        <item x="146"/>
        <item x="37"/>
        <item x="28"/>
        <item x="36"/>
        <item x="160"/>
        <item x="149"/>
        <item x="83"/>
        <item x="5"/>
        <item x="158"/>
        <item x="57"/>
        <item x="43"/>
        <item x="137"/>
        <item x="135"/>
        <item x="51"/>
        <item x="4"/>
        <item x="126"/>
        <item x="87"/>
        <item x="15"/>
        <item x="66"/>
        <item x="162"/>
        <item x="82"/>
        <item x="116"/>
        <item x="16"/>
        <item x="97"/>
        <item x="7"/>
        <item x="168"/>
        <item x="147"/>
        <item x="9"/>
        <item x="61"/>
        <item x="94"/>
        <item x="124"/>
        <item x="32"/>
        <item x="98"/>
        <item x="131"/>
        <item x="68"/>
        <item x="142"/>
        <item x="29"/>
        <item x="41"/>
        <item x="76"/>
        <item x="178"/>
        <item x="105"/>
        <item x="33"/>
        <item t="default"/>
      </items>
    </pivotField>
    <pivotField dataField="1" showAll="0"/>
    <pivotField showAll="0"/>
    <pivotField showAll="0"/>
    <pivotField showAll="0">
      <items count="4">
        <item x="1"/>
        <item x="2"/>
        <item x="0"/>
        <item t="default"/>
      </items>
    </pivotField>
    <pivotField showAll="0"/>
  </pivotFields>
  <rowFields count="1">
    <field x="6"/>
  </rowFields>
  <rowItems count="11">
    <i>
      <x v="28"/>
    </i>
    <i>
      <x v="37"/>
    </i>
    <i>
      <x v="41"/>
    </i>
    <i>
      <x v="45"/>
    </i>
    <i>
      <x v="105"/>
    </i>
    <i>
      <x v="107"/>
    </i>
    <i>
      <x v="111"/>
    </i>
    <i>
      <x v="146"/>
    </i>
    <i>
      <x v="147"/>
    </i>
    <i>
      <x v="171"/>
    </i>
    <i t="grand">
      <x/>
    </i>
  </rowItems>
  <colItems count="1">
    <i/>
  </colItems>
  <dataFields count="1">
    <dataField name="Sum of Sales" fld="7"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A2896-4E3E-41E2-BC8D-88ECD23EBDBE}"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2">
    <pivotField showAll="0"/>
    <pivotField showAll="0"/>
    <pivotField showAll="0">
      <items count="5">
        <item x="2"/>
        <item x="0"/>
        <item x="1"/>
        <item x="3"/>
        <item t="default"/>
      </items>
    </pivotField>
    <pivotField showAll="0"/>
    <pivotField axis="axisRow" showAll="0">
      <items count="4">
        <item x="2"/>
        <item x="1"/>
        <item x="0"/>
        <item t="default"/>
      </items>
    </pivotField>
    <pivotField showAll="0"/>
    <pivotField showAll="0"/>
    <pivotField dataField="1" showAll="0"/>
    <pivotField showAll="0"/>
    <pivotField showAll="0"/>
    <pivotField showAll="0">
      <items count="4">
        <item x="1"/>
        <item x="2"/>
        <item x="0"/>
        <item t="default"/>
      </items>
    </pivotField>
    <pivotField showAll="0"/>
  </pivotFields>
  <rowFields count="1">
    <field x="4"/>
  </rowFields>
  <rowItems count="4">
    <i>
      <x/>
    </i>
    <i>
      <x v="1"/>
    </i>
    <i>
      <x v="2"/>
    </i>
    <i t="grand">
      <x/>
    </i>
  </rowItems>
  <colItems count="1">
    <i/>
  </colItems>
  <dataFields count="1">
    <dataField name="Sum of Sales"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46C2E0-1EE4-4DE3-880E-59A73CED08EA}" name="PivotTable3"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7" firstHeaderRow="1" firstDataRow="1" firstDataCol="1"/>
  <pivotFields count="12">
    <pivotField showAll="0"/>
    <pivotField showAll="0"/>
    <pivotField axis="axisRow" showAll="0">
      <items count="5">
        <item x="2"/>
        <item x="0"/>
        <item x="1"/>
        <item x="3"/>
        <item t="default"/>
      </items>
    </pivotField>
    <pivotField showAll="0"/>
    <pivotField showAll="0">
      <items count="4">
        <item x="2"/>
        <item x="1"/>
        <item x="0"/>
        <item t="default"/>
      </items>
    </pivotField>
    <pivotField showAll="0"/>
    <pivotField showAll="0"/>
    <pivotField dataField="1" showAll="0"/>
    <pivotField showAll="0"/>
    <pivotField showAll="0"/>
    <pivotField showAll="0">
      <items count="4">
        <item x="1"/>
        <item x="2"/>
        <item x="0"/>
        <item t="default"/>
      </items>
    </pivotField>
    <pivotField showAll="0"/>
  </pivotFields>
  <rowFields count="1">
    <field x="2"/>
  </rowFields>
  <rowItems count="4">
    <i>
      <x/>
    </i>
    <i>
      <x v="1"/>
    </i>
    <i>
      <x v="2"/>
    </i>
    <i>
      <x v="3"/>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8EC60A-FFB8-4D19-8282-273E46D0456B}" sourceName="Region">
  <pivotTables>
    <pivotTable tabId="15" name="PivotTable9"/>
    <pivotTable tabId="5" name="PivotTable1"/>
    <pivotTable tabId="8" name="PivotTable4"/>
    <pivotTable tabId="7" name="PivotTable3"/>
    <pivotTable tabId="13" name="PivotTable8"/>
  </pivotTables>
  <data>
    <tabular pivotCacheId="506996916">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872B69-9BA9-46F9-ACF7-283C33805FA4}" sourceName="Category">
  <pivotTables>
    <pivotTable tabId="15" name="PivotTable9"/>
    <pivotTable tabId="5" name="PivotTable1"/>
    <pivotTable tabId="8" name="PivotTable4"/>
    <pivotTable tabId="7" name="PivotTable3"/>
    <pivotTable tabId="13" name="PivotTable8"/>
  </pivotTables>
  <data>
    <tabular pivotCacheId="50699691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530B5C6-221F-4D5A-88B9-E4C00344A68A}" sourceName="Segment">
  <pivotTables>
    <pivotTable tabId="15" name="PivotTable9"/>
    <pivotTable tabId="5" name="PivotTable1"/>
    <pivotTable tabId="8" name="PivotTable4"/>
    <pivotTable tabId="7" name="PivotTable3"/>
    <pivotTable tabId="13" name="PivotTable8"/>
  </pivotTables>
  <data>
    <tabular pivotCacheId="5069969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045A151-7280-4E24-96DD-3871469C59E7}" cache="Slicer_Region" caption="Region" rowHeight="241300"/>
  <slicer name="Category" xr10:uid="{D47A7295-D28E-43FF-B45A-37D74326FFF9}" cache="Slicer_Category" caption="Category" rowHeight="241300"/>
  <slicer name="Segment" xr10:uid="{E55DD5F4-FA32-448A-A6EA-E04E1E25D2ED}"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E8AFAA5-80E2-4710-A23D-239D14DE66F6}" cache="Slicer_Region" caption="Region" rowHeight="241300"/>
  <slicer name="Category 1" xr10:uid="{5232DD24-1DE0-4DDB-ADE5-FCDAA76D1AD4}" cache="Slicer_Category" caption="Category" rowHeight="241300"/>
  <slicer name="Segment 1" xr10:uid="{ECD8E9F0-E2B7-4676-9D89-5AE139749DA4}"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22C37-EB89-4E3F-BB07-85516F7FF659}" name="Table1" displayName="Table1" ref="A1:L1001" totalsRowShown="0">
  <autoFilter ref="A1:L1001" xr:uid="{53722C37-EB89-4E3F-BB07-85516F7FF659}"/>
  <sortState xmlns:xlrd2="http://schemas.microsoft.com/office/spreadsheetml/2017/richdata2" ref="A2:L1001">
    <sortCondition descending="1" ref="H1:H1001"/>
  </sortState>
  <tableColumns count="12">
    <tableColumn id="1" xr3:uid="{A135EA35-60C9-4F33-99F6-64DA074EF9BD}" name="Order ID"/>
    <tableColumn id="2" xr3:uid="{053BBAA9-6ACB-4096-A286-D568FAA0B7AE}" name="Order Date" dataDxfId="0"/>
    <tableColumn id="3" xr3:uid="{B3303461-46F6-44D1-90A8-8D09F5D672C7}" name="Region"/>
    <tableColumn id="4" xr3:uid="{91FD4205-3A95-403D-91E9-A3228CAE49D1}" name="State"/>
    <tableColumn id="5" xr3:uid="{B1CE84B9-7869-4CD4-A942-8FD1C1FA93E4}" name="Category"/>
    <tableColumn id="6" xr3:uid="{BC4E0C3A-7B34-441C-970C-85B7F582FCB8}" name="Sub-Category"/>
    <tableColumn id="7" xr3:uid="{071FBA18-47E0-41AD-8551-BF34C310FE37}" name="Product"/>
    <tableColumn id="8" xr3:uid="{3C714C21-6165-4C5F-979C-C66167202BD8}" name="Sales"/>
    <tableColumn id="9" xr3:uid="{B9143B05-EE20-4B49-841C-5AE81451E5DD}" name="Profit"/>
    <tableColumn id="10" xr3:uid="{74EA2073-44D2-4FD4-A66B-AE32C8E96E5E}" name="Quantity"/>
    <tableColumn id="11" xr3:uid="{361EA861-DEAA-40C9-A364-B59A0FF96155}" name="Segment"/>
    <tableColumn id="12" xr3:uid="{6A8BDDBC-901C-4E30-B9BD-697969EC0073}"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opLeftCell="A2" workbookViewId="0">
      <selection activeCell="E18" sqref="E18"/>
    </sheetView>
  </sheetViews>
  <sheetFormatPr defaultRowHeight="14.5" x14ac:dyDescent="0.35"/>
  <cols>
    <col min="1" max="1" width="10" customWidth="1"/>
    <col min="2" max="2" width="12.1796875" style="4" customWidth="1"/>
    <col min="5" max="5" width="10.26953125" customWidth="1"/>
    <col min="6" max="6" width="14" customWidth="1"/>
    <col min="7" max="7" width="9.453125" customWidth="1"/>
    <col min="10" max="10" width="10.1796875" customWidth="1"/>
    <col min="11" max="11" width="11.1796875" bestFit="1" customWidth="1"/>
    <col min="12" max="12" width="12.81640625" customWidth="1"/>
  </cols>
  <sheetData>
    <row r="1" spans="1:12" x14ac:dyDescent="0.35">
      <c r="A1" t="s">
        <v>0</v>
      </c>
      <c r="B1" s="4" t="s">
        <v>1</v>
      </c>
      <c r="C1" t="s">
        <v>2</v>
      </c>
      <c r="D1" t="s">
        <v>3</v>
      </c>
      <c r="E1" t="s">
        <v>4</v>
      </c>
      <c r="F1" t="s">
        <v>5</v>
      </c>
      <c r="G1" t="s">
        <v>6</v>
      </c>
      <c r="H1" t="s">
        <v>7</v>
      </c>
      <c r="I1" t="s">
        <v>8</v>
      </c>
      <c r="J1" t="s">
        <v>9</v>
      </c>
      <c r="K1" t="s">
        <v>10</v>
      </c>
      <c r="L1" t="s">
        <v>11</v>
      </c>
    </row>
    <row r="2" spans="1:12" x14ac:dyDescent="0.35">
      <c r="A2" t="s">
        <v>926</v>
      </c>
      <c r="B2" s="4">
        <v>45609</v>
      </c>
      <c r="C2" t="s">
        <v>21</v>
      </c>
      <c r="D2" t="s">
        <v>65</v>
      </c>
      <c r="E2" t="s">
        <v>23</v>
      </c>
      <c r="F2" t="s">
        <v>24</v>
      </c>
      <c r="G2" t="s">
        <v>87</v>
      </c>
      <c r="H2">
        <v>4983.62</v>
      </c>
      <c r="I2">
        <v>1324.32</v>
      </c>
      <c r="J2">
        <v>8</v>
      </c>
      <c r="K2" t="s">
        <v>18</v>
      </c>
      <c r="L2" t="s">
        <v>61</v>
      </c>
    </row>
    <row r="3" spans="1:12" x14ac:dyDescent="0.35">
      <c r="A3" t="s">
        <v>922</v>
      </c>
      <c r="B3" s="4">
        <v>45626</v>
      </c>
      <c r="C3" t="s">
        <v>46</v>
      </c>
      <c r="D3" t="s">
        <v>89</v>
      </c>
      <c r="E3" t="s">
        <v>51</v>
      </c>
      <c r="F3" t="s">
        <v>52</v>
      </c>
      <c r="G3" t="s">
        <v>53</v>
      </c>
      <c r="H3">
        <v>4970.41</v>
      </c>
      <c r="I3">
        <v>1622.12</v>
      </c>
      <c r="J3">
        <v>10</v>
      </c>
      <c r="K3" t="s">
        <v>32</v>
      </c>
      <c r="L3" t="s">
        <v>61</v>
      </c>
    </row>
    <row r="4" spans="1:12" x14ac:dyDescent="0.35">
      <c r="A4" t="s">
        <v>518</v>
      </c>
      <c r="B4" s="4">
        <v>45490</v>
      </c>
      <c r="C4" t="s">
        <v>13</v>
      </c>
      <c r="D4" t="s">
        <v>29</v>
      </c>
      <c r="E4" t="s">
        <v>23</v>
      </c>
      <c r="F4" t="s">
        <v>69</v>
      </c>
      <c r="G4" t="s">
        <v>519</v>
      </c>
      <c r="H4">
        <v>4968.59</v>
      </c>
      <c r="I4">
        <v>672.87</v>
      </c>
      <c r="J4">
        <v>4</v>
      </c>
      <c r="K4" t="s">
        <v>32</v>
      </c>
      <c r="L4" t="s">
        <v>33</v>
      </c>
    </row>
    <row r="5" spans="1:12" x14ac:dyDescent="0.35">
      <c r="A5" t="s">
        <v>1125</v>
      </c>
      <c r="B5" s="4">
        <v>45331</v>
      </c>
      <c r="C5" t="s">
        <v>46</v>
      </c>
      <c r="D5" t="s">
        <v>47</v>
      </c>
      <c r="E5" t="s">
        <v>15</v>
      </c>
      <c r="F5" t="s">
        <v>40</v>
      </c>
      <c r="G5" t="s">
        <v>176</v>
      </c>
      <c r="H5">
        <v>4955.3999999999996</v>
      </c>
      <c r="I5">
        <v>593.57000000000005</v>
      </c>
      <c r="J5">
        <v>10</v>
      </c>
      <c r="K5" t="s">
        <v>26</v>
      </c>
      <c r="L5" t="s">
        <v>58</v>
      </c>
    </row>
    <row r="6" spans="1:12" x14ac:dyDescent="0.35">
      <c r="A6" t="s">
        <v>86</v>
      </c>
      <c r="B6" s="4">
        <v>45526</v>
      </c>
      <c r="C6" t="s">
        <v>46</v>
      </c>
      <c r="D6" t="s">
        <v>47</v>
      </c>
      <c r="E6" t="s">
        <v>23</v>
      </c>
      <c r="F6" t="s">
        <v>24</v>
      </c>
      <c r="G6" t="s">
        <v>87</v>
      </c>
      <c r="H6">
        <v>4955.17</v>
      </c>
      <c r="I6">
        <v>820.07</v>
      </c>
      <c r="J6">
        <v>10</v>
      </c>
      <c r="K6" t="s">
        <v>32</v>
      </c>
      <c r="L6" t="s">
        <v>27</v>
      </c>
    </row>
    <row r="7" spans="1:12" x14ac:dyDescent="0.35">
      <c r="A7" t="s">
        <v>546</v>
      </c>
      <c r="B7" s="4">
        <v>45641</v>
      </c>
      <c r="C7" t="s">
        <v>35</v>
      </c>
      <c r="D7" t="s">
        <v>50</v>
      </c>
      <c r="E7" t="s">
        <v>23</v>
      </c>
      <c r="F7" t="s">
        <v>92</v>
      </c>
      <c r="G7" t="s">
        <v>129</v>
      </c>
      <c r="H7">
        <v>4952.53</v>
      </c>
      <c r="I7">
        <v>1519.02</v>
      </c>
      <c r="J7">
        <v>4</v>
      </c>
      <c r="K7" t="s">
        <v>32</v>
      </c>
      <c r="L7" t="s">
        <v>42</v>
      </c>
    </row>
    <row r="8" spans="1:12" x14ac:dyDescent="0.35">
      <c r="A8" t="s">
        <v>211</v>
      </c>
      <c r="B8" s="4">
        <v>45594</v>
      </c>
      <c r="C8" t="s">
        <v>46</v>
      </c>
      <c r="D8" t="s">
        <v>56</v>
      </c>
      <c r="E8" t="s">
        <v>23</v>
      </c>
      <c r="F8" t="s">
        <v>24</v>
      </c>
      <c r="G8" t="s">
        <v>212</v>
      </c>
      <c r="H8">
        <v>4949.63</v>
      </c>
      <c r="I8">
        <v>1206.56</v>
      </c>
      <c r="J8">
        <v>10</v>
      </c>
      <c r="K8" t="s">
        <v>32</v>
      </c>
      <c r="L8" t="s">
        <v>78</v>
      </c>
    </row>
    <row r="9" spans="1:12" x14ac:dyDescent="0.35">
      <c r="A9" t="s">
        <v>604</v>
      </c>
      <c r="B9" s="4">
        <v>45623</v>
      </c>
      <c r="C9" t="s">
        <v>46</v>
      </c>
      <c r="D9" t="s">
        <v>89</v>
      </c>
      <c r="E9" t="s">
        <v>51</v>
      </c>
      <c r="F9" t="s">
        <v>52</v>
      </c>
      <c r="G9" t="s">
        <v>53</v>
      </c>
      <c r="H9">
        <v>4946.74</v>
      </c>
      <c r="I9">
        <v>1020.84</v>
      </c>
      <c r="J9">
        <v>1</v>
      </c>
      <c r="K9" t="s">
        <v>32</v>
      </c>
      <c r="L9" t="s">
        <v>61</v>
      </c>
    </row>
    <row r="10" spans="1:12" x14ac:dyDescent="0.35">
      <c r="A10" t="s">
        <v>229</v>
      </c>
      <c r="B10" s="4">
        <v>45359</v>
      </c>
      <c r="C10" t="s">
        <v>46</v>
      </c>
      <c r="D10" t="s">
        <v>56</v>
      </c>
      <c r="E10" t="s">
        <v>15</v>
      </c>
      <c r="F10" t="s">
        <v>40</v>
      </c>
      <c r="G10" t="s">
        <v>163</v>
      </c>
      <c r="H10">
        <v>4940.6899999999996</v>
      </c>
      <c r="I10">
        <v>760.37</v>
      </c>
      <c r="J10">
        <v>9</v>
      </c>
      <c r="K10" t="s">
        <v>26</v>
      </c>
      <c r="L10" t="s">
        <v>58</v>
      </c>
    </row>
    <row r="11" spans="1:12" x14ac:dyDescent="0.35">
      <c r="A11" t="s">
        <v>358</v>
      </c>
      <c r="B11" s="4">
        <v>45379</v>
      </c>
      <c r="C11" t="s">
        <v>13</v>
      </c>
      <c r="D11" t="s">
        <v>82</v>
      </c>
      <c r="E11" t="s">
        <v>23</v>
      </c>
      <c r="F11" t="s">
        <v>92</v>
      </c>
      <c r="G11" t="s">
        <v>109</v>
      </c>
      <c r="H11">
        <v>4929.29</v>
      </c>
      <c r="I11">
        <v>357.14</v>
      </c>
      <c r="J11">
        <v>5</v>
      </c>
      <c r="K11" t="s">
        <v>26</v>
      </c>
      <c r="L11" t="s">
        <v>61</v>
      </c>
    </row>
    <row r="12" spans="1:12" x14ac:dyDescent="0.35">
      <c r="A12" t="s">
        <v>285</v>
      </c>
      <c r="B12" s="4">
        <v>45640</v>
      </c>
      <c r="C12" t="s">
        <v>35</v>
      </c>
      <c r="D12" t="s">
        <v>36</v>
      </c>
      <c r="E12" t="s">
        <v>15</v>
      </c>
      <c r="F12" t="s">
        <v>30</v>
      </c>
      <c r="G12" t="s">
        <v>236</v>
      </c>
      <c r="H12">
        <v>4922.6899999999996</v>
      </c>
      <c r="I12">
        <v>1190.58</v>
      </c>
      <c r="J12">
        <v>10</v>
      </c>
      <c r="K12" t="s">
        <v>32</v>
      </c>
      <c r="L12" t="s">
        <v>54</v>
      </c>
    </row>
    <row r="13" spans="1:12" x14ac:dyDescent="0.35">
      <c r="A13" t="s">
        <v>307</v>
      </c>
      <c r="B13" s="4">
        <v>45420</v>
      </c>
      <c r="C13" t="s">
        <v>21</v>
      </c>
      <c r="D13" t="s">
        <v>22</v>
      </c>
      <c r="E13" t="s">
        <v>15</v>
      </c>
      <c r="F13" t="s">
        <v>30</v>
      </c>
      <c r="G13" t="s">
        <v>271</v>
      </c>
      <c r="H13">
        <v>4920.99</v>
      </c>
      <c r="I13">
        <v>395.99</v>
      </c>
      <c r="J13">
        <v>3</v>
      </c>
      <c r="K13" t="s">
        <v>26</v>
      </c>
      <c r="L13" t="s">
        <v>27</v>
      </c>
    </row>
    <row r="14" spans="1:12" x14ac:dyDescent="0.35">
      <c r="A14" t="s">
        <v>1074</v>
      </c>
      <c r="B14" s="4">
        <v>45398</v>
      </c>
      <c r="C14" t="s">
        <v>35</v>
      </c>
      <c r="D14" t="s">
        <v>36</v>
      </c>
      <c r="E14" t="s">
        <v>23</v>
      </c>
      <c r="F14" t="s">
        <v>24</v>
      </c>
      <c r="G14" t="s">
        <v>281</v>
      </c>
      <c r="H14">
        <v>4908.79</v>
      </c>
      <c r="I14">
        <v>832.88</v>
      </c>
      <c r="J14">
        <v>5</v>
      </c>
      <c r="K14" t="s">
        <v>18</v>
      </c>
      <c r="L14" t="s">
        <v>33</v>
      </c>
    </row>
    <row r="15" spans="1:12" x14ac:dyDescent="0.35">
      <c r="A15" t="s">
        <v>359</v>
      </c>
      <c r="B15" s="4">
        <v>45606</v>
      </c>
      <c r="C15" t="s">
        <v>46</v>
      </c>
      <c r="D15" t="s">
        <v>89</v>
      </c>
      <c r="E15" t="s">
        <v>51</v>
      </c>
      <c r="F15" t="s">
        <v>74</v>
      </c>
      <c r="G15" t="s">
        <v>75</v>
      </c>
      <c r="H15">
        <v>4902.2700000000004</v>
      </c>
      <c r="I15">
        <v>699.09</v>
      </c>
      <c r="J15">
        <v>9</v>
      </c>
      <c r="K15" t="s">
        <v>18</v>
      </c>
      <c r="L15" t="s">
        <v>42</v>
      </c>
    </row>
    <row r="16" spans="1:12" x14ac:dyDescent="0.35">
      <c r="A16" t="s">
        <v>1184</v>
      </c>
      <c r="B16" s="4">
        <v>45336</v>
      </c>
      <c r="C16" t="s">
        <v>35</v>
      </c>
      <c r="D16" t="s">
        <v>50</v>
      </c>
      <c r="E16" t="s">
        <v>51</v>
      </c>
      <c r="F16" t="s">
        <v>66</v>
      </c>
      <c r="G16" t="s">
        <v>224</v>
      </c>
      <c r="H16">
        <v>4901.83</v>
      </c>
      <c r="I16">
        <v>1515.82</v>
      </c>
      <c r="J16">
        <v>8</v>
      </c>
      <c r="K16" t="s">
        <v>32</v>
      </c>
      <c r="L16" t="s">
        <v>54</v>
      </c>
    </row>
    <row r="17" spans="1:12" x14ac:dyDescent="0.35">
      <c r="A17" t="s">
        <v>875</v>
      </c>
      <c r="B17" s="4">
        <v>45382</v>
      </c>
      <c r="C17" t="s">
        <v>21</v>
      </c>
      <c r="D17" t="s">
        <v>134</v>
      </c>
      <c r="E17" t="s">
        <v>23</v>
      </c>
      <c r="F17" t="s">
        <v>24</v>
      </c>
      <c r="G17" t="s">
        <v>25</v>
      </c>
      <c r="H17">
        <v>4890.2</v>
      </c>
      <c r="I17">
        <v>1518.32</v>
      </c>
      <c r="J17">
        <v>7</v>
      </c>
      <c r="K17" t="s">
        <v>26</v>
      </c>
      <c r="L17" t="s">
        <v>27</v>
      </c>
    </row>
    <row r="18" spans="1:12" x14ac:dyDescent="0.35">
      <c r="A18" t="s">
        <v>1005</v>
      </c>
      <c r="B18" s="4">
        <v>45366</v>
      </c>
      <c r="C18" t="s">
        <v>13</v>
      </c>
      <c r="D18" t="s">
        <v>29</v>
      </c>
      <c r="E18" t="s">
        <v>51</v>
      </c>
      <c r="F18" t="s">
        <v>74</v>
      </c>
      <c r="G18" t="s">
        <v>193</v>
      </c>
      <c r="H18">
        <v>4880.42</v>
      </c>
      <c r="I18">
        <v>1079.8499999999999</v>
      </c>
      <c r="J18">
        <v>4</v>
      </c>
      <c r="K18" t="s">
        <v>18</v>
      </c>
      <c r="L18" t="s">
        <v>33</v>
      </c>
    </row>
    <row r="19" spans="1:12" x14ac:dyDescent="0.35">
      <c r="A19" t="s">
        <v>968</v>
      </c>
      <c r="B19" s="4">
        <v>45435</v>
      </c>
      <c r="C19" t="s">
        <v>35</v>
      </c>
      <c r="D19" t="s">
        <v>50</v>
      </c>
      <c r="E19" t="s">
        <v>15</v>
      </c>
      <c r="F19" t="s">
        <v>16</v>
      </c>
      <c r="G19" t="s">
        <v>541</v>
      </c>
      <c r="H19">
        <v>4879.3999999999996</v>
      </c>
      <c r="I19">
        <v>1694.37</v>
      </c>
      <c r="J19">
        <v>4</v>
      </c>
      <c r="K19" t="s">
        <v>18</v>
      </c>
      <c r="L19" t="s">
        <v>54</v>
      </c>
    </row>
    <row r="20" spans="1:12" x14ac:dyDescent="0.35">
      <c r="A20" t="s">
        <v>481</v>
      </c>
      <c r="B20" s="4">
        <v>45505</v>
      </c>
      <c r="C20" t="s">
        <v>46</v>
      </c>
      <c r="D20" t="s">
        <v>89</v>
      </c>
      <c r="E20" t="s">
        <v>23</v>
      </c>
      <c r="F20" t="s">
        <v>92</v>
      </c>
      <c r="G20" t="s">
        <v>482</v>
      </c>
      <c r="H20">
        <v>4878.8</v>
      </c>
      <c r="I20">
        <v>919.53</v>
      </c>
      <c r="J20">
        <v>1</v>
      </c>
      <c r="K20" t="s">
        <v>18</v>
      </c>
      <c r="L20" t="s">
        <v>19</v>
      </c>
    </row>
    <row r="21" spans="1:12" x14ac:dyDescent="0.35">
      <c r="A21" t="s">
        <v>1129</v>
      </c>
      <c r="B21" s="4">
        <v>45430</v>
      </c>
      <c r="C21" t="s">
        <v>13</v>
      </c>
      <c r="D21" t="s">
        <v>14</v>
      </c>
      <c r="E21" t="s">
        <v>15</v>
      </c>
      <c r="F21" t="s">
        <v>16</v>
      </c>
      <c r="G21" t="s">
        <v>125</v>
      </c>
      <c r="H21">
        <v>4873.16</v>
      </c>
      <c r="I21">
        <v>1588.43</v>
      </c>
      <c r="J21">
        <v>9</v>
      </c>
      <c r="K21" t="s">
        <v>18</v>
      </c>
      <c r="L21" t="s">
        <v>19</v>
      </c>
    </row>
    <row r="22" spans="1:12" x14ac:dyDescent="0.35">
      <c r="A22" t="s">
        <v>829</v>
      </c>
      <c r="B22" s="4">
        <v>45408</v>
      </c>
      <c r="C22" t="s">
        <v>35</v>
      </c>
      <c r="D22" t="s">
        <v>39</v>
      </c>
      <c r="E22" t="s">
        <v>15</v>
      </c>
      <c r="F22" t="s">
        <v>16</v>
      </c>
      <c r="G22" t="s">
        <v>90</v>
      </c>
      <c r="H22">
        <v>4869.66</v>
      </c>
      <c r="I22">
        <v>718.84</v>
      </c>
      <c r="J22">
        <v>2</v>
      </c>
      <c r="K22" t="s">
        <v>18</v>
      </c>
      <c r="L22" t="s">
        <v>61</v>
      </c>
    </row>
    <row r="23" spans="1:12" x14ac:dyDescent="0.35">
      <c r="A23" t="s">
        <v>876</v>
      </c>
      <c r="B23" s="4">
        <v>45605</v>
      </c>
      <c r="C23" t="s">
        <v>13</v>
      </c>
      <c r="D23" t="s">
        <v>29</v>
      </c>
      <c r="E23" t="s">
        <v>15</v>
      </c>
      <c r="F23" t="s">
        <v>16</v>
      </c>
      <c r="G23" t="s">
        <v>402</v>
      </c>
      <c r="H23">
        <v>4869.32</v>
      </c>
      <c r="I23">
        <v>335.8</v>
      </c>
      <c r="J23">
        <v>8</v>
      </c>
      <c r="K23" t="s">
        <v>18</v>
      </c>
      <c r="L23" t="s">
        <v>54</v>
      </c>
    </row>
    <row r="24" spans="1:12" x14ac:dyDescent="0.35">
      <c r="A24" t="s">
        <v>992</v>
      </c>
      <c r="B24" s="4">
        <v>45572</v>
      </c>
      <c r="C24" t="s">
        <v>46</v>
      </c>
      <c r="D24" t="s">
        <v>47</v>
      </c>
      <c r="E24" t="s">
        <v>15</v>
      </c>
      <c r="F24" t="s">
        <v>16</v>
      </c>
      <c r="G24" t="s">
        <v>125</v>
      </c>
      <c r="H24">
        <v>4864.41</v>
      </c>
      <c r="I24">
        <v>812.9</v>
      </c>
      <c r="J24">
        <v>1</v>
      </c>
      <c r="K24" t="s">
        <v>18</v>
      </c>
      <c r="L24" t="s">
        <v>42</v>
      </c>
    </row>
    <row r="25" spans="1:12" x14ac:dyDescent="0.35">
      <c r="A25" t="s">
        <v>303</v>
      </c>
      <c r="B25" s="4">
        <v>45608</v>
      </c>
      <c r="C25" t="s">
        <v>21</v>
      </c>
      <c r="D25" t="s">
        <v>65</v>
      </c>
      <c r="E25" t="s">
        <v>23</v>
      </c>
      <c r="F25" t="s">
        <v>69</v>
      </c>
      <c r="G25" t="s">
        <v>70</v>
      </c>
      <c r="H25">
        <v>4862.01</v>
      </c>
      <c r="I25">
        <v>998.98</v>
      </c>
      <c r="J25">
        <v>5</v>
      </c>
      <c r="K25" t="s">
        <v>18</v>
      </c>
      <c r="L25" t="s">
        <v>19</v>
      </c>
    </row>
    <row r="26" spans="1:12" x14ac:dyDescent="0.35">
      <c r="A26" t="s">
        <v>659</v>
      </c>
      <c r="B26" s="4">
        <v>45317</v>
      </c>
      <c r="C26" t="s">
        <v>46</v>
      </c>
      <c r="D26" t="s">
        <v>89</v>
      </c>
      <c r="E26" t="s">
        <v>15</v>
      </c>
      <c r="F26" t="s">
        <v>40</v>
      </c>
      <c r="G26" t="s">
        <v>44</v>
      </c>
      <c r="H26">
        <v>4857.7299999999996</v>
      </c>
      <c r="I26">
        <v>1206.53</v>
      </c>
      <c r="J26">
        <v>6</v>
      </c>
      <c r="K26" t="s">
        <v>18</v>
      </c>
      <c r="L26" t="s">
        <v>19</v>
      </c>
    </row>
    <row r="27" spans="1:12" x14ac:dyDescent="0.35">
      <c r="A27" t="s">
        <v>397</v>
      </c>
      <c r="B27" s="4">
        <v>45314</v>
      </c>
      <c r="C27" t="s">
        <v>21</v>
      </c>
      <c r="D27" t="s">
        <v>134</v>
      </c>
      <c r="E27" t="s">
        <v>15</v>
      </c>
      <c r="F27" t="s">
        <v>40</v>
      </c>
      <c r="G27" t="s">
        <v>41</v>
      </c>
      <c r="H27">
        <v>4856.71</v>
      </c>
      <c r="I27">
        <v>303.19</v>
      </c>
      <c r="J27">
        <v>4</v>
      </c>
      <c r="K27" t="s">
        <v>18</v>
      </c>
      <c r="L27" t="s">
        <v>54</v>
      </c>
    </row>
    <row r="28" spans="1:12" x14ac:dyDescent="0.35">
      <c r="A28" t="s">
        <v>585</v>
      </c>
      <c r="B28" s="4">
        <v>45491</v>
      </c>
      <c r="C28" t="s">
        <v>46</v>
      </c>
      <c r="D28" t="s">
        <v>56</v>
      </c>
      <c r="E28" t="s">
        <v>23</v>
      </c>
      <c r="F28" t="s">
        <v>24</v>
      </c>
      <c r="G28" t="s">
        <v>586</v>
      </c>
      <c r="H28">
        <v>4847.07</v>
      </c>
      <c r="I28">
        <v>1095.92</v>
      </c>
      <c r="J28">
        <v>5</v>
      </c>
      <c r="K28" t="s">
        <v>18</v>
      </c>
      <c r="L28" t="s">
        <v>61</v>
      </c>
    </row>
    <row r="29" spans="1:12" x14ac:dyDescent="0.35">
      <c r="A29" t="s">
        <v>306</v>
      </c>
      <c r="B29" s="4">
        <v>45315</v>
      </c>
      <c r="C29" t="s">
        <v>46</v>
      </c>
      <c r="D29" t="s">
        <v>56</v>
      </c>
      <c r="E29" t="s">
        <v>51</v>
      </c>
      <c r="F29" t="s">
        <v>52</v>
      </c>
      <c r="G29" t="s">
        <v>289</v>
      </c>
      <c r="H29">
        <v>4846.03</v>
      </c>
      <c r="I29">
        <v>911.83</v>
      </c>
      <c r="J29">
        <v>5</v>
      </c>
      <c r="K29" t="s">
        <v>32</v>
      </c>
      <c r="L29" t="s">
        <v>33</v>
      </c>
    </row>
    <row r="30" spans="1:12" x14ac:dyDescent="0.35">
      <c r="A30" t="s">
        <v>240</v>
      </c>
      <c r="B30" s="4">
        <v>45498</v>
      </c>
      <c r="C30" t="s">
        <v>21</v>
      </c>
      <c r="D30" t="s">
        <v>134</v>
      </c>
      <c r="E30" t="s">
        <v>51</v>
      </c>
      <c r="F30" t="s">
        <v>52</v>
      </c>
      <c r="G30" t="s">
        <v>80</v>
      </c>
      <c r="H30">
        <v>4843.8500000000004</v>
      </c>
      <c r="I30">
        <v>1197.19</v>
      </c>
      <c r="J30">
        <v>10</v>
      </c>
      <c r="K30" t="s">
        <v>32</v>
      </c>
      <c r="L30" t="s">
        <v>27</v>
      </c>
    </row>
    <row r="31" spans="1:12" x14ac:dyDescent="0.35">
      <c r="A31" t="s">
        <v>1202</v>
      </c>
      <c r="B31" s="4">
        <v>45655</v>
      </c>
      <c r="C31" t="s">
        <v>13</v>
      </c>
      <c r="D31" t="s">
        <v>14</v>
      </c>
      <c r="E31" t="s">
        <v>15</v>
      </c>
      <c r="F31" t="s">
        <v>16</v>
      </c>
      <c r="G31" t="s">
        <v>90</v>
      </c>
      <c r="H31">
        <v>4843.3500000000004</v>
      </c>
      <c r="I31">
        <v>1218.79</v>
      </c>
      <c r="J31">
        <v>7</v>
      </c>
      <c r="K31" t="s">
        <v>32</v>
      </c>
      <c r="L31" t="s">
        <v>61</v>
      </c>
    </row>
    <row r="32" spans="1:12" x14ac:dyDescent="0.35">
      <c r="A32" t="s">
        <v>900</v>
      </c>
      <c r="B32" s="4">
        <v>45463</v>
      </c>
      <c r="C32" t="s">
        <v>46</v>
      </c>
      <c r="D32" t="s">
        <v>47</v>
      </c>
      <c r="E32" t="s">
        <v>51</v>
      </c>
      <c r="F32" t="s">
        <v>52</v>
      </c>
      <c r="G32" t="s">
        <v>499</v>
      </c>
      <c r="H32">
        <v>4843.0600000000004</v>
      </c>
      <c r="I32">
        <v>1532.35</v>
      </c>
      <c r="J32">
        <v>9</v>
      </c>
      <c r="K32" t="s">
        <v>18</v>
      </c>
      <c r="L32" t="s">
        <v>78</v>
      </c>
    </row>
    <row r="33" spans="1:12" x14ac:dyDescent="0.35">
      <c r="A33" t="s">
        <v>842</v>
      </c>
      <c r="B33" s="4">
        <v>45588</v>
      </c>
      <c r="C33" t="s">
        <v>46</v>
      </c>
      <c r="D33" t="s">
        <v>56</v>
      </c>
      <c r="E33" t="s">
        <v>51</v>
      </c>
      <c r="F33" t="s">
        <v>66</v>
      </c>
      <c r="G33" t="s">
        <v>721</v>
      </c>
      <c r="H33">
        <v>4837.76</v>
      </c>
      <c r="I33">
        <v>1351.36</v>
      </c>
      <c r="J33">
        <v>4</v>
      </c>
      <c r="K33" t="s">
        <v>32</v>
      </c>
      <c r="L33" t="s">
        <v>19</v>
      </c>
    </row>
    <row r="34" spans="1:12" x14ac:dyDescent="0.35">
      <c r="A34" t="s">
        <v>825</v>
      </c>
      <c r="B34" s="4">
        <v>45573</v>
      </c>
      <c r="C34" t="s">
        <v>13</v>
      </c>
      <c r="D34" t="s">
        <v>29</v>
      </c>
      <c r="E34" t="s">
        <v>51</v>
      </c>
      <c r="F34" t="s">
        <v>66</v>
      </c>
      <c r="G34" t="s">
        <v>826</v>
      </c>
      <c r="H34">
        <v>4826.2299999999996</v>
      </c>
      <c r="I34">
        <v>665.32</v>
      </c>
      <c r="J34">
        <v>8</v>
      </c>
      <c r="K34" t="s">
        <v>18</v>
      </c>
      <c r="L34" t="s">
        <v>27</v>
      </c>
    </row>
    <row r="35" spans="1:12" x14ac:dyDescent="0.35">
      <c r="A35" t="s">
        <v>448</v>
      </c>
      <c r="B35" s="4">
        <v>45496</v>
      </c>
      <c r="C35" t="s">
        <v>35</v>
      </c>
      <c r="D35" t="s">
        <v>39</v>
      </c>
      <c r="E35" t="s">
        <v>15</v>
      </c>
      <c r="F35" t="s">
        <v>16</v>
      </c>
      <c r="G35" t="s">
        <v>449</v>
      </c>
      <c r="H35">
        <v>4817.8900000000003</v>
      </c>
      <c r="I35">
        <v>609.54</v>
      </c>
      <c r="J35">
        <v>7</v>
      </c>
      <c r="K35" t="s">
        <v>26</v>
      </c>
      <c r="L35" t="s">
        <v>19</v>
      </c>
    </row>
    <row r="36" spans="1:12" x14ac:dyDescent="0.35">
      <c r="A36" t="s">
        <v>1121</v>
      </c>
      <c r="B36" s="4">
        <v>45378</v>
      </c>
      <c r="C36" t="s">
        <v>13</v>
      </c>
      <c r="D36" t="s">
        <v>14</v>
      </c>
      <c r="E36" t="s">
        <v>51</v>
      </c>
      <c r="F36" t="s">
        <v>52</v>
      </c>
      <c r="G36" t="s">
        <v>535</v>
      </c>
      <c r="H36">
        <v>4816.32</v>
      </c>
      <c r="I36">
        <v>1006.71</v>
      </c>
      <c r="J36">
        <v>5</v>
      </c>
      <c r="K36" t="s">
        <v>32</v>
      </c>
      <c r="L36" t="s">
        <v>78</v>
      </c>
    </row>
    <row r="37" spans="1:12" x14ac:dyDescent="0.35">
      <c r="A37" t="s">
        <v>1208</v>
      </c>
      <c r="B37" s="4">
        <v>45589</v>
      </c>
      <c r="C37" t="s">
        <v>13</v>
      </c>
      <c r="D37" t="s">
        <v>14</v>
      </c>
      <c r="E37" t="s">
        <v>51</v>
      </c>
      <c r="F37" t="s">
        <v>66</v>
      </c>
      <c r="G37" t="s">
        <v>343</v>
      </c>
      <c r="H37">
        <v>4811.18</v>
      </c>
      <c r="I37">
        <v>641.16999999999996</v>
      </c>
      <c r="J37">
        <v>4</v>
      </c>
      <c r="K37" t="s">
        <v>26</v>
      </c>
      <c r="L37" t="s">
        <v>58</v>
      </c>
    </row>
    <row r="38" spans="1:12" x14ac:dyDescent="0.35">
      <c r="A38" t="s">
        <v>104</v>
      </c>
      <c r="B38" s="4">
        <v>45564</v>
      </c>
      <c r="C38" t="s">
        <v>13</v>
      </c>
      <c r="D38" t="s">
        <v>82</v>
      </c>
      <c r="E38" t="s">
        <v>15</v>
      </c>
      <c r="F38" t="s">
        <v>30</v>
      </c>
      <c r="G38" t="s">
        <v>105</v>
      </c>
      <c r="H38">
        <v>4808.53</v>
      </c>
      <c r="I38">
        <v>1434.88</v>
      </c>
      <c r="J38">
        <v>10</v>
      </c>
      <c r="K38" t="s">
        <v>32</v>
      </c>
      <c r="L38" t="s">
        <v>61</v>
      </c>
    </row>
    <row r="39" spans="1:12" x14ac:dyDescent="0.35">
      <c r="A39" t="s">
        <v>344</v>
      </c>
      <c r="B39" s="4">
        <v>45606</v>
      </c>
      <c r="C39" t="s">
        <v>21</v>
      </c>
      <c r="D39" t="s">
        <v>22</v>
      </c>
      <c r="E39" t="s">
        <v>15</v>
      </c>
      <c r="F39" t="s">
        <v>40</v>
      </c>
      <c r="G39" t="s">
        <v>246</v>
      </c>
      <c r="H39">
        <v>4797.26</v>
      </c>
      <c r="I39">
        <v>956.96</v>
      </c>
      <c r="J39">
        <v>9</v>
      </c>
      <c r="K39" t="s">
        <v>32</v>
      </c>
      <c r="L39" t="s">
        <v>54</v>
      </c>
    </row>
    <row r="40" spans="1:12" x14ac:dyDescent="0.35">
      <c r="A40" t="s">
        <v>715</v>
      </c>
      <c r="B40" s="4">
        <v>45299</v>
      </c>
      <c r="C40" t="s">
        <v>46</v>
      </c>
      <c r="D40" t="s">
        <v>56</v>
      </c>
      <c r="E40" t="s">
        <v>15</v>
      </c>
      <c r="F40" t="s">
        <v>30</v>
      </c>
      <c r="G40" t="s">
        <v>105</v>
      </c>
      <c r="H40">
        <v>4797.0600000000004</v>
      </c>
      <c r="I40">
        <v>1609.91</v>
      </c>
      <c r="J40">
        <v>7</v>
      </c>
      <c r="K40" t="s">
        <v>18</v>
      </c>
      <c r="L40" t="s">
        <v>54</v>
      </c>
    </row>
    <row r="41" spans="1:12" x14ac:dyDescent="0.35">
      <c r="A41" t="s">
        <v>553</v>
      </c>
      <c r="B41" s="4">
        <v>45383</v>
      </c>
      <c r="C41" t="s">
        <v>46</v>
      </c>
      <c r="D41" t="s">
        <v>56</v>
      </c>
      <c r="E41" t="s">
        <v>51</v>
      </c>
      <c r="F41" t="s">
        <v>66</v>
      </c>
      <c r="G41" t="s">
        <v>554</v>
      </c>
      <c r="H41">
        <v>4796.96</v>
      </c>
      <c r="I41">
        <v>469.1</v>
      </c>
      <c r="J41">
        <v>1</v>
      </c>
      <c r="K41" t="s">
        <v>32</v>
      </c>
      <c r="L41" t="s">
        <v>54</v>
      </c>
    </row>
    <row r="42" spans="1:12" x14ac:dyDescent="0.35">
      <c r="A42" t="s">
        <v>555</v>
      </c>
      <c r="B42" s="4">
        <v>45411</v>
      </c>
      <c r="C42" t="s">
        <v>21</v>
      </c>
      <c r="D42" t="s">
        <v>134</v>
      </c>
      <c r="E42" t="s">
        <v>23</v>
      </c>
      <c r="F42" t="s">
        <v>69</v>
      </c>
      <c r="G42" t="s">
        <v>107</v>
      </c>
      <c r="H42">
        <v>4796.53</v>
      </c>
      <c r="I42">
        <v>1209.3</v>
      </c>
      <c r="J42">
        <v>8</v>
      </c>
      <c r="K42" t="s">
        <v>26</v>
      </c>
      <c r="L42" t="s">
        <v>61</v>
      </c>
    </row>
    <row r="43" spans="1:12" x14ac:dyDescent="0.35">
      <c r="A43" t="s">
        <v>263</v>
      </c>
      <c r="B43" s="4">
        <v>45473</v>
      </c>
      <c r="C43" t="s">
        <v>21</v>
      </c>
      <c r="D43" t="s">
        <v>65</v>
      </c>
      <c r="E43" t="s">
        <v>15</v>
      </c>
      <c r="F43" t="s">
        <v>30</v>
      </c>
      <c r="G43" t="s">
        <v>236</v>
      </c>
      <c r="H43">
        <v>4791.57</v>
      </c>
      <c r="I43">
        <v>1299.07</v>
      </c>
      <c r="J43">
        <v>2</v>
      </c>
      <c r="K43" t="s">
        <v>18</v>
      </c>
      <c r="L43" t="s">
        <v>33</v>
      </c>
    </row>
    <row r="44" spans="1:12" x14ac:dyDescent="0.35">
      <c r="A44" t="s">
        <v>776</v>
      </c>
      <c r="B44" s="4">
        <v>45438</v>
      </c>
      <c r="C44" t="s">
        <v>13</v>
      </c>
      <c r="D44" t="s">
        <v>82</v>
      </c>
      <c r="E44" t="s">
        <v>15</v>
      </c>
      <c r="F44" t="s">
        <v>30</v>
      </c>
      <c r="G44" t="s">
        <v>777</v>
      </c>
      <c r="H44">
        <v>4785.4799999999996</v>
      </c>
      <c r="I44">
        <v>1390.57</v>
      </c>
      <c r="J44">
        <v>10</v>
      </c>
      <c r="K44" t="s">
        <v>26</v>
      </c>
      <c r="L44" t="s">
        <v>19</v>
      </c>
    </row>
    <row r="45" spans="1:12" x14ac:dyDescent="0.35">
      <c r="A45" t="s">
        <v>589</v>
      </c>
      <c r="B45" s="4">
        <v>45578</v>
      </c>
      <c r="C45" t="s">
        <v>13</v>
      </c>
      <c r="D45" t="s">
        <v>29</v>
      </c>
      <c r="E45" t="s">
        <v>51</v>
      </c>
      <c r="F45" t="s">
        <v>66</v>
      </c>
      <c r="G45" t="s">
        <v>67</v>
      </c>
      <c r="H45">
        <v>4775.8100000000004</v>
      </c>
      <c r="I45">
        <v>431.47</v>
      </c>
      <c r="J45">
        <v>10</v>
      </c>
      <c r="K45" t="s">
        <v>32</v>
      </c>
      <c r="L45" t="s">
        <v>61</v>
      </c>
    </row>
    <row r="46" spans="1:12" x14ac:dyDescent="0.35">
      <c r="A46" t="s">
        <v>676</v>
      </c>
      <c r="B46" s="4">
        <v>45344</v>
      </c>
      <c r="C46" t="s">
        <v>21</v>
      </c>
      <c r="D46" t="s">
        <v>134</v>
      </c>
      <c r="E46" t="s">
        <v>51</v>
      </c>
      <c r="F46" t="s">
        <v>52</v>
      </c>
      <c r="G46" t="s">
        <v>60</v>
      </c>
      <c r="H46">
        <v>4767.7</v>
      </c>
      <c r="I46">
        <v>618.12</v>
      </c>
      <c r="J46">
        <v>7</v>
      </c>
      <c r="K46" t="s">
        <v>18</v>
      </c>
      <c r="L46" t="s">
        <v>54</v>
      </c>
    </row>
    <row r="47" spans="1:12" x14ac:dyDescent="0.35">
      <c r="A47" t="s">
        <v>644</v>
      </c>
      <c r="B47" s="4">
        <v>45499</v>
      </c>
      <c r="C47" t="s">
        <v>13</v>
      </c>
      <c r="D47" t="s">
        <v>14</v>
      </c>
      <c r="E47" t="s">
        <v>15</v>
      </c>
      <c r="F47" t="s">
        <v>16</v>
      </c>
      <c r="G47" t="s">
        <v>215</v>
      </c>
      <c r="H47">
        <v>4767.21</v>
      </c>
      <c r="I47">
        <v>945.68</v>
      </c>
      <c r="J47">
        <v>10</v>
      </c>
      <c r="K47" t="s">
        <v>26</v>
      </c>
      <c r="L47" t="s">
        <v>33</v>
      </c>
    </row>
    <row r="48" spans="1:12" x14ac:dyDescent="0.35">
      <c r="A48" t="s">
        <v>558</v>
      </c>
      <c r="B48" s="4">
        <v>45520</v>
      </c>
      <c r="C48" t="s">
        <v>13</v>
      </c>
      <c r="D48" t="s">
        <v>14</v>
      </c>
      <c r="E48" t="s">
        <v>23</v>
      </c>
      <c r="F48" t="s">
        <v>24</v>
      </c>
      <c r="G48" t="s">
        <v>329</v>
      </c>
      <c r="H48">
        <v>4766.97</v>
      </c>
      <c r="I48">
        <v>1644.53</v>
      </c>
      <c r="J48">
        <v>2</v>
      </c>
      <c r="K48" t="s">
        <v>26</v>
      </c>
      <c r="L48" t="s">
        <v>19</v>
      </c>
    </row>
    <row r="49" spans="1:12" x14ac:dyDescent="0.35">
      <c r="A49" t="s">
        <v>462</v>
      </c>
      <c r="B49" s="4">
        <v>45444</v>
      </c>
      <c r="C49" t="s">
        <v>21</v>
      </c>
      <c r="D49" t="s">
        <v>65</v>
      </c>
      <c r="E49" t="s">
        <v>15</v>
      </c>
      <c r="F49" t="s">
        <v>30</v>
      </c>
      <c r="G49" t="s">
        <v>63</v>
      </c>
      <c r="H49">
        <v>4764.6099999999997</v>
      </c>
      <c r="I49">
        <v>477.12</v>
      </c>
      <c r="J49">
        <v>9</v>
      </c>
      <c r="K49" t="s">
        <v>32</v>
      </c>
      <c r="L49" t="s">
        <v>33</v>
      </c>
    </row>
    <row r="50" spans="1:12" x14ac:dyDescent="0.35">
      <c r="A50" t="s">
        <v>699</v>
      </c>
      <c r="B50" s="4">
        <v>45422</v>
      </c>
      <c r="C50" t="s">
        <v>35</v>
      </c>
      <c r="D50" t="s">
        <v>50</v>
      </c>
      <c r="E50" t="s">
        <v>15</v>
      </c>
      <c r="F50" t="s">
        <v>16</v>
      </c>
      <c r="G50" t="s">
        <v>17</v>
      </c>
      <c r="H50">
        <v>4749.3599999999997</v>
      </c>
      <c r="I50">
        <v>1392.42</v>
      </c>
      <c r="J50">
        <v>10</v>
      </c>
      <c r="K50" t="s">
        <v>32</v>
      </c>
      <c r="L50" t="s">
        <v>54</v>
      </c>
    </row>
    <row r="51" spans="1:12" x14ac:dyDescent="0.35">
      <c r="A51" t="s">
        <v>1166</v>
      </c>
      <c r="B51" s="4">
        <v>45376</v>
      </c>
      <c r="C51" t="s">
        <v>21</v>
      </c>
      <c r="D51" t="s">
        <v>65</v>
      </c>
      <c r="E51" t="s">
        <v>23</v>
      </c>
      <c r="F51" t="s">
        <v>69</v>
      </c>
      <c r="G51" t="s">
        <v>70</v>
      </c>
      <c r="H51">
        <v>4737.58</v>
      </c>
      <c r="I51">
        <v>607.63</v>
      </c>
      <c r="J51">
        <v>8</v>
      </c>
      <c r="K51" t="s">
        <v>26</v>
      </c>
      <c r="L51" t="s">
        <v>61</v>
      </c>
    </row>
    <row r="52" spans="1:12" x14ac:dyDescent="0.35">
      <c r="A52" t="s">
        <v>974</v>
      </c>
      <c r="B52" s="4">
        <v>45601</v>
      </c>
      <c r="C52" t="s">
        <v>35</v>
      </c>
      <c r="D52" t="s">
        <v>36</v>
      </c>
      <c r="E52" t="s">
        <v>15</v>
      </c>
      <c r="F52" t="s">
        <v>30</v>
      </c>
      <c r="G52" t="s">
        <v>340</v>
      </c>
      <c r="H52">
        <v>4736.0200000000004</v>
      </c>
      <c r="I52">
        <v>1223.8699999999999</v>
      </c>
      <c r="J52">
        <v>8</v>
      </c>
      <c r="K52" t="s">
        <v>26</v>
      </c>
      <c r="L52" t="s">
        <v>54</v>
      </c>
    </row>
    <row r="53" spans="1:12" x14ac:dyDescent="0.35">
      <c r="A53" t="s">
        <v>865</v>
      </c>
      <c r="B53" s="4">
        <v>45327</v>
      </c>
      <c r="C53" t="s">
        <v>46</v>
      </c>
      <c r="D53" t="s">
        <v>47</v>
      </c>
      <c r="E53" t="s">
        <v>23</v>
      </c>
      <c r="F53" t="s">
        <v>92</v>
      </c>
      <c r="G53" t="s">
        <v>831</v>
      </c>
      <c r="H53">
        <v>4729.41</v>
      </c>
      <c r="I53">
        <v>1074.29</v>
      </c>
      <c r="J53">
        <v>9</v>
      </c>
      <c r="K53" t="s">
        <v>26</v>
      </c>
      <c r="L53" t="s">
        <v>61</v>
      </c>
    </row>
    <row r="54" spans="1:12" x14ac:dyDescent="0.35">
      <c r="A54" t="s">
        <v>665</v>
      </c>
      <c r="B54" s="4">
        <v>45490</v>
      </c>
      <c r="C54" t="s">
        <v>13</v>
      </c>
      <c r="D54" t="s">
        <v>82</v>
      </c>
      <c r="E54" t="s">
        <v>15</v>
      </c>
      <c r="F54" t="s">
        <v>30</v>
      </c>
      <c r="G54" t="s">
        <v>529</v>
      </c>
      <c r="H54">
        <v>4728.8599999999997</v>
      </c>
      <c r="I54">
        <v>571.41</v>
      </c>
      <c r="J54">
        <v>1</v>
      </c>
      <c r="K54" t="s">
        <v>32</v>
      </c>
      <c r="L54" t="s">
        <v>33</v>
      </c>
    </row>
    <row r="55" spans="1:12" x14ac:dyDescent="0.35">
      <c r="A55" t="s">
        <v>682</v>
      </c>
      <c r="B55" s="4">
        <v>45514</v>
      </c>
      <c r="C55" t="s">
        <v>21</v>
      </c>
      <c r="D55" t="s">
        <v>65</v>
      </c>
      <c r="E55" t="s">
        <v>23</v>
      </c>
      <c r="F55" t="s">
        <v>24</v>
      </c>
      <c r="G55" t="s">
        <v>265</v>
      </c>
      <c r="H55">
        <v>4727.33</v>
      </c>
      <c r="I55">
        <v>1134.68</v>
      </c>
      <c r="J55">
        <v>8</v>
      </c>
      <c r="K55" t="s">
        <v>32</v>
      </c>
      <c r="L55" t="s">
        <v>42</v>
      </c>
    </row>
    <row r="56" spans="1:12" x14ac:dyDescent="0.35">
      <c r="A56" t="s">
        <v>962</v>
      </c>
      <c r="B56" s="4">
        <v>45295</v>
      </c>
      <c r="C56" t="s">
        <v>35</v>
      </c>
      <c r="D56" t="s">
        <v>36</v>
      </c>
      <c r="E56" t="s">
        <v>23</v>
      </c>
      <c r="F56" t="s">
        <v>92</v>
      </c>
      <c r="G56" t="s">
        <v>142</v>
      </c>
      <c r="H56">
        <v>4725.9399999999996</v>
      </c>
      <c r="I56">
        <v>387.37</v>
      </c>
      <c r="J56">
        <v>4</v>
      </c>
      <c r="K56" t="s">
        <v>18</v>
      </c>
      <c r="L56" t="s">
        <v>78</v>
      </c>
    </row>
    <row r="57" spans="1:12" x14ac:dyDescent="0.35">
      <c r="A57" t="s">
        <v>839</v>
      </c>
      <c r="B57" s="4">
        <v>45595</v>
      </c>
      <c r="C57" t="s">
        <v>46</v>
      </c>
      <c r="D57" t="s">
        <v>47</v>
      </c>
      <c r="E57" t="s">
        <v>51</v>
      </c>
      <c r="F57" t="s">
        <v>66</v>
      </c>
      <c r="G57" t="s">
        <v>242</v>
      </c>
      <c r="H57">
        <v>4725.54</v>
      </c>
      <c r="I57">
        <v>1013.8</v>
      </c>
      <c r="J57">
        <v>3</v>
      </c>
      <c r="K57" t="s">
        <v>26</v>
      </c>
      <c r="L57" t="s">
        <v>19</v>
      </c>
    </row>
    <row r="58" spans="1:12" x14ac:dyDescent="0.35">
      <c r="A58" t="s">
        <v>649</v>
      </c>
      <c r="B58" s="4">
        <v>45536</v>
      </c>
      <c r="C58" t="s">
        <v>13</v>
      </c>
      <c r="D58" t="s">
        <v>14</v>
      </c>
      <c r="E58" t="s">
        <v>15</v>
      </c>
      <c r="F58" t="s">
        <v>40</v>
      </c>
      <c r="G58" t="s">
        <v>77</v>
      </c>
      <c r="H58">
        <v>4722.3900000000003</v>
      </c>
      <c r="I58">
        <v>484.96</v>
      </c>
      <c r="J58">
        <v>6</v>
      </c>
      <c r="K58" t="s">
        <v>32</v>
      </c>
      <c r="L58" t="s">
        <v>42</v>
      </c>
    </row>
    <row r="59" spans="1:12" x14ac:dyDescent="0.35">
      <c r="A59" t="s">
        <v>272</v>
      </c>
      <c r="B59" s="4">
        <v>45520</v>
      </c>
      <c r="C59" t="s">
        <v>21</v>
      </c>
      <c r="D59" t="s">
        <v>134</v>
      </c>
      <c r="E59" t="s">
        <v>51</v>
      </c>
      <c r="F59" t="s">
        <v>66</v>
      </c>
      <c r="G59" t="s">
        <v>224</v>
      </c>
      <c r="H59">
        <v>4721.99</v>
      </c>
      <c r="I59">
        <v>1502.87</v>
      </c>
      <c r="J59">
        <v>4</v>
      </c>
      <c r="K59" t="s">
        <v>18</v>
      </c>
      <c r="L59" t="s">
        <v>19</v>
      </c>
    </row>
    <row r="60" spans="1:12" x14ac:dyDescent="0.35">
      <c r="A60" t="s">
        <v>1117</v>
      </c>
      <c r="B60" s="4">
        <v>45542</v>
      </c>
      <c r="C60" t="s">
        <v>46</v>
      </c>
      <c r="D60" t="s">
        <v>89</v>
      </c>
      <c r="E60" t="s">
        <v>51</v>
      </c>
      <c r="F60" t="s">
        <v>74</v>
      </c>
      <c r="G60" t="s">
        <v>294</v>
      </c>
      <c r="H60">
        <v>4713.6899999999996</v>
      </c>
      <c r="I60">
        <v>352.77</v>
      </c>
      <c r="J60">
        <v>9</v>
      </c>
      <c r="K60" t="s">
        <v>26</v>
      </c>
      <c r="L60" t="s">
        <v>78</v>
      </c>
    </row>
    <row r="61" spans="1:12" x14ac:dyDescent="0.35">
      <c r="A61" t="s">
        <v>738</v>
      </c>
      <c r="B61" s="4">
        <v>45355</v>
      </c>
      <c r="C61" t="s">
        <v>13</v>
      </c>
      <c r="D61" t="s">
        <v>29</v>
      </c>
      <c r="E61" t="s">
        <v>51</v>
      </c>
      <c r="F61" t="s">
        <v>74</v>
      </c>
      <c r="G61" t="s">
        <v>193</v>
      </c>
      <c r="H61">
        <v>4712.21</v>
      </c>
      <c r="I61">
        <v>281.51</v>
      </c>
      <c r="J61">
        <v>7</v>
      </c>
      <c r="K61" t="s">
        <v>32</v>
      </c>
      <c r="L61" t="s">
        <v>33</v>
      </c>
    </row>
    <row r="62" spans="1:12" x14ac:dyDescent="0.35">
      <c r="A62" t="s">
        <v>684</v>
      </c>
      <c r="B62" s="4">
        <v>45613</v>
      </c>
      <c r="C62" t="s">
        <v>21</v>
      </c>
      <c r="D62" t="s">
        <v>22</v>
      </c>
      <c r="E62" t="s">
        <v>23</v>
      </c>
      <c r="F62" t="s">
        <v>92</v>
      </c>
      <c r="G62" t="s">
        <v>129</v>
      </c>
      <c r="H62">
        <v>4709.8500000000004</v>
      </c>
      <c r="I62">
        <v>476.44</v>
      </c>
      <c r="J62">
        <v>3</v>
      </c>
      <c r="K62" t="s">
        <v>26</v>
      </c>
      <c r="L62" t="s">
        <v>61</v>
      </c>
    </row>
    <row r="63" spans="1:12" x14ac:dyDescent="0.35">
      <c r="A63" t="s">
        <v>606</v>
      </c>
      <c r="B63" s="4">
        <v>45598</v>
      </c>
      <c r="C63" t="s">
        <v>13</v>
      </c>
      <c r="D63" t="s">
        <v>82</v>
      </c>
      <c r="E63" t="s">
        <v>51</v>
      </c>
      <c r="F63" t="s">
        <v>52</v>
      </c>
      <c r="G63" t="s">
        <v>316</v>
      </c>
      <c r="H63">
        <v>4705.5600000000004</v>
      </c>
      <c r="I63">
        <v>416.01</v>
      </c>
      <c r="J63">
        <v>3</v>
      </c>
      <c r="K63" t="s">
        <v>26</v>
      </c>
      <c r="L63" t="s">
        <v>58</v>
      </c>
    </row>
    <row r="64" spans="1:12" x14ac:dyDescent="0.35">
      <c r="A64" t="s">
        <v>785</v>
      </c>
      <c r="B64" s="4">
        <v>45604</v>
      </c>
      <c r="C64" t="s">
        <v>35</v>
      </c>
      <c r="D64" t="s">
        <v>39</v>
      </c>
      <c r="E64" t="s">
        <v>15</v>
      </c>
      <c r="F64" t="s">
        <v>40</v>
      </c>
      <c r="G64" t="s">
        <v>197</v>
      </c>
      <c r="H64">
        <v>4701.57</v>
      </c>
      <c r="I64">
        <v>854.41</v>
      </c>
      <c r="J64">
        <v>2</v>
      </c>
      <c r="K64" t="s">
        <v>32</v>
      </c>
      <c r="L64" t="s">
        <v>78</v>
      </c>
    </row>
    <row r="65" spans="1:12" x14ac:dyDescent="0.35">
      <c r="A65" t="s">
        <v>633</v>
      </c>
      <c r="B65" s="4">
        <v>45509</v>
      </c>
      <c r="C65" t="s">
        <v>21</v>
      </c>
      <c r="D65" t="s">
        <v>22</v>
      </c>
      <c r="E65" t="s">
        <v>51</v>
      </c>
      <c r="F65" t="s">
        <v>74</v>
      </c>
      <c r="G65" t="s">
        <v>305</v>
      </c>
      <c r="H65">
        <v>4701.51</v>
      </c>
      <c r="I65">
        <v>492.98</v>
      </c>
      <c r="J65">
        <v>8</v>
      </c>
      <c r="K65" t="s">
        <v>18</v>
      </c>
      <c r="L65" t="s">
        <v>33</v>
      </c>
    </row>
    <row r="66" spans="1:12" x14ac:dyDescent="0.35">
      <c r="A66" t="s">
        <v>1221</v>
      </c>
      <c r="B66" s="4">
        <v>45495</v>
      </c>
      <c r="C66" t="s">
        <v>46</v>
      </c>
      <c r="D66" t="s">
        <v>47</v>
      </c>
      <c r="E66" t="s">
        <v>51</v>
      </c>
      <c r="F66" t="s">
        <v>52</v>
      </c>
      <c r="G66" t="s">
        <v>60</v>
      </c>
      <c r="H66">
        <v>4691.72</v>
      </c>
      <c r="I66">
        <v>1448.75</v>
      </c>
      <c r="J66">
        <v>8</v>
      </c>
      <c r="K66" t="s">
        <v>26</v>
      </c>
      <c r="L66" t="s">
        <v>27</v>
      </c>
    </row>
    <row r="67" spans="1:12" x14ac:dyDescent="0.35">
      <c r="A67" t="s">
        <v>1227</v>
      </c>
      <c r="B67" s="4">
        <v>45543</v>
      </c>
      <c r="C67" t="s">
        <v>46</v>
      </c>
      <c r="D67" t="s">
        <v>89</v>
      </c>
      <c r="E67" t="s">
        <v>51</v>
      </c>
      <c r="F67" t="s">
        <v>74</v>
      </c>
      <c r="G67" t="s">
        <v>294</v>
      </c>
      <c r="H67">
        <v>4687.33</v>
      </c>
      <c r="I67">
        <v>1462.19</v>
      </c>
      <c r="J67">
        <v>2</v>
      </c>
      <c r="K67" t="s">
        <v>18</v>
      </c>
      <c r="L67" t="s">
        <v>19</v>
      </c>
    </row>
    <row r="68" spans="1:12" x14ac:dyDescent="0.35">
      <c r="A68" t="s">
        <v>1219</v>
      </c>
      <c r="B68" s="4">
        <v>45456</v>
      </c>
      <c r="C68" t="s">
        <v>13</v>
      </c>
      <c r="D68" t="s">
        <v>29</v>
      </c>
      <c r="E68" t="s">
        <v>15</v>
      </c>
      <c r="F68" t="s">
        <v>40</v>
      </c>
      <c r="G68" t="s">
        <v>44</v>
      </c>
      <c r="H68">
        <v>4684.0600000000004</v>
      </c>
      <c r="I68">
        <v>1538.01</v>
      </c>
      <c r="J68">
        <v>3</v>
      </c>
      <c r="K68" t="s">
        <v>18</v>
      </c>
      <c r="L68" t="s">
        <v>54</v>
      </c>
    </row>
    <row r="69" spans="1:12" x14ac:dyDescent="0.35">
      <c r="A69" t="s">
        <v>817</v>
      </c>
      <c r="B69" s="4">
        <v>45310</v>
      </c>
      <c r="C69" t="s">
        <v>35</v>
      </c>
      <c r="D69" t="s">
        <v>50</v>
      </c>
      <c r="E69" t="s">
        <v>51</v>
      </c>
      <c r="F69" t="s">
        <v>74</v>
      </c>
      <c r="G69" t="s">
        <v>723</v>
      </c>
      <c r="H69">
        <v>4673.3100000000004</v>
      </c>
      <c r="I69">
        <v>1268.8900000000001</v>
      </c>
      <c r="J69">
        <v>5</v>
      </c>
      <c r="K69" t="s">
        <v>26</v>
      </c>
      <c r="L69" t="s">
        <v>54</v>
      </c>
    </row>
    <row r="70" spans="1:12" x14ac:dyDescent="0.35">
      <c r="A70" t="s">
        <v>660</v>
      </c>
      <c r="B70" s="4">
        <v>45446</v>
      </c>
      <c r="C70" t="s">
        <v>21</v>
      </c>
      <c r="D70" t="s">
        <v>134</v>
      </c>
      <c r="E70" t="s">
        <v>15</v>
      </c>
      <c r="F70" t="s">
        <v>40</v>
      </c>
      <c r="G70" t="s">
        <v>258</v>
      </c>
      <c r="H70">
        <v>4658.76</v>
      </c>
      <c r="I70">
        <v>677.53</v>
      </c>
      <c r="J70">
        <v>3</v>
      </c>
      <c r="K70" t="s">
        <v>18</v>
      </c>
      <c r="L70" t="s">
        <v>27</v>
      </c>
    </row>
    <row r="71" spans="1:12" x14ac:dyDescent="0.35">
      <c r="A71" t="s">
        <v>217</v>
      </c>
      <c r="B71" s="4">
        <v>45558</v>
      </c>
      <c r="C71" t="s">
        <v>46</v>
      </c>
      <c r="D71" t="s">
        <v>89</v>
      </c>
      <c r="E71" t="s">
        <v>23</v>
      </c>
      <c r="F71" t="s">
        <v>69</v>
      </c>
      <c r="G71" t="s">
        <v>218</v>
      </c>
      <c r="H71">
        <v>4651.3</v>
      </c>
      <c r="I71">
        <v>1271.1300000000001</v>
      </c>
      <c r="J71">
        <v>4</v>
      </c>
      <c r="K71" t="s">
        <v>26</v>
      </c>
      <c r="L71" t="s">
        <v>78</v>
      </c>
    </row>
    <row r="72" spans="1:12" x14ac:dyDescent="0.35">
      <c r="A72" t="s">
        <v>679</v>
      </c>
      <c r="B72" s="4">
        <v>45564</v>
      </c>
      <c r="C72" t="s">
        <v>13</v>
      </c>
      <c r="D72" t="s">
        <v>82</v>
      </c>
      <c r="E72" t="s">
        <v>51</v>
      </c>
      <c r="F72" t="s">
        <v>66</v>
      </c>
      <c r="G72" t="s">
        <v>680</v>
      </c>
      <c r="H72">
        <v>4646.34</v>
      </c>
      <c r="I72">
        <v>257.12</v>
      </c>
      <c r="J72">
        <v>6</v>
      </c>
      <c r="K72" t="s">
        <v>18</v>
      </c>
      <c r="L72" t="s">
        <v>27</v>
      </c>
    </row>
    <row r="73" spans="1:12" x14ac:dyDescent="0.35">
      <c r="A73" t="s">
        <v>749</v>
      </c>
      <c r="B73" s="4">
        <v>45298</v>
      </c>
      <c r="C73" t="s">
        <v>13</v>
      </c>
      <c r="D73" t="s">
        <v>29</v>
      </c>
      <c r="E73" t="s">
        <v>15</v>
      </c>
      <c r="F73" t="s">
        <v>16</v>
      </c>
      <c r="G73" t="s">
        <v>199</v>
      </c>
      <c r="H73">
        <v>4626.97</v>
      </c>
      <c r="I73">
        <v>1453.71</v>
      </c>
      <c r="J73">
        <v>3</v>
      </c>
      <c r="K73" t="s">
        <v>32</v>
      </c>
      <c r="L73" t="s">
        <v>33</v>
      </c>
    </row>
    <row r="74" spans="1:12" x14ac:dyDescent="0.35">
      <c r="A74" t="s">
        <v>1056</v>
      </c>
      <c r="B74" s="4">
        <v>45340</v>
      </c>
      <c r="C74" t="s">
        <v>35</v>
      </c>
      <c r="D74" t="s">
        <v>39</v>
      </c>
      <c r="E74" t="s">
        <v>51</v>
      </c>
      <c r="F74" t="s">
        <v>52</v>
      </c>
      <c r="G74" t="s">
        <v>221</v>
      </c>
      <c r="H74">
        <v>4607.2299999999996</v>
      </c>
      <c r="I74">
        <v>1327.09</v>
      </c>
      <c r="J74">
        <v>7</v>
      </c>
      <c r="K74" t="s">
        <v>32</v>
      </c>
      <c r="L74" t="s">
        <v>33</v>
      </c>
    </row>
    <row r="75" spans="1:12" x14ac:dyDescent="0.35">
      <c r="A75" t="s">
        <v>959</v>
      </c>
      <c r="B75" s="4">
        <v>45642</v>
      </c>
      <c r="C75" t="s">
        <v>13</v>
      </c>
      <c r="D75" t="s">
        <v>14</v>
      </c>
      <c r="E75" t="s">
        <v>51</v>
      </c>
      <c r="F75" t="s">
        <v>74</v>
      </c>
      <c r="G75" t="s">
        <v>305</v>
      </c>
      <c r="H75">
        <v>4599.0200000000004</v>
      </c>
      <c r="I75">
        <v>1418.31</v>
      </c>
      <c r="J75">
        <v>5</v>
      </c>
      <c r="K75" t="s">
        <v>18</v>
      </c>
      <c r="L75" t="s">
        <v>61</v>
      </c>
    </row>
    <row r="76" spans="1:12" x14ac:dyDescent="0.35">
      <c r="A76" t="s">
        <v>1089</v>
      </c>
      <c r="B76" s="4">
        <v>45313</v>
      </c>
      <c r="C76" t="s">
        <v>46</v>
      </c>
      <c r="D76" t="s">
        <v>89</v>
      </c>
      <c r="E76" t="s">
        <v>23</v>
      </c>
      <c r="F76" t="s">
        <v>69</v>
      </c>
      <c r="G76" t="s">
        <v>349</v>
      </c>
      <c r="H76">
        <v>4598.18</v>
      </c>
      <c r="I76">
        <v>653.09</v>
      </c>
      <c r="J76">
        <v>2</v>
      </c>
      <c r="K76" t="s">
        <v>18</v>
      </c>
      <c r="L76" t="s">
        <v>58</v>
      </c>
    </row>
    <row r="77" spans="1:12" x14ac:dyDescent="0.35">
      <c r="A77" t="s">
        <v>969</v>
      </c>
      <c r="B77" s="4">
        <v>45557</v>
      </c>
      <c r="C77" t="s">
        <v>46</v>
      </c>
      <c r="D77" t="s">
        <v>56</v>
      </c>
      <c r="E77" t="s">
        <v>15</v>
      </c>
      <c r="F77" t="s">
        <v>30</v>
      </c>
      <c r="G77" t="s">
        <v>489</v>
      </c>
      <c r="H77">
        <v>4595.0200000000004</v>
      </c>
      <c r="I77">
        <v>260.29000000000002</v>
      </c>
      <c r="J77">
        <v>5</v>
      </c>
      <c r="K77" t="s">
        <v>26</v>
      </c>
      <c r="L77" t="s">
        <v>78</v>
      </c>
    </row>
    <row r="78" spans="1:12" x14ac:dyDescent="0.35">
      <c r="A78" t="s">
        <v>567</v>
      </c>
      <c r="B78" s="4">
        <v>45535</v>
      </c>
      <c r="C78" t="s">
        <v>13</v>
      </c>
      <c r="D78" t="s">
        <v>29</v>
      </c>
      <c r="E78" t="s">
        <v>23</v>
      </c>
      <c r="F78" t="s">
        <v>24</v>
      </c>
      <c r="G78" t="s">
        <v>149</v>
      </c>
      <c r="H78">
        <v>4584.6400000000003</v>
      </c>
      <c r="I78">
        <v>429.78</v>
      </c>
      <c r="J78">
        <v>7</v>
      </c>
      <c r="K78" t="s">
        <v>18</v>
      </c>
      <c r="L78" t="s">
        <v>54</v>
      </c>
    </row>
    <row r="79" spans="1:12" x14ac:dyDescent="0.35">
      <c r="A79" t="s">
        <v>822</v>
      </c>
      <c r="B79" s="4">
        <v>45420</v>
      </c>
      <c r="C79" t="s">
        <v>21</v>
      </c>
      <c r="D79" t="s">
        <v>22</v>
      </c>
      <c r="E79" t="s">
        <v>51</v>
      </c>
      <c r="F79" t="s">
        <v>66</v>
      </c>
      <c r="G79" t="s">
        <v>351</v>
      </c>
      <c r="H79">
        <v>4580.76</v>
      </c>
      <c r="I79">
        <v>1022.06</v>
      </c>
      <c r="J79">
        <v>6</v>
      </c>
      <c r="K79" t="s">
        <v>18</v>
      </c>
      <c r="L79" t="s">
        <v>33</v>
      </c>
    </row>
    <row r="80" spans="1:12" x14ac:dyDescent="0.35">
      <c r="A80" t="s">
        <v>360</v>
      </c>
      <c r="B80" s="4">
        <v>45458</v>
      </c>
      <c r="C80" t="s">
        <v>13</v>
      </c>
      <c r="D80" t="s">
        <v>14</v>
      </c>
      <c r="E80" t="s">
        <v>23</v>
      </c>
      <c r="F80" t="s">
        <v>24</v>
      </c>
      <c r="G80" t="s">
        <v>281</v>
      </c>
      <c r="H80">
        <v>4574.41</v>
      </c>
      <c r="I80">
        <v>1220.1199999999999</v>
      </c>
      <c r="J80">
        <v>9</v>
      </c>
      <c r="K80" t="s">
        <v>26</v>
      </c>
      <c r="L80" t="s">
        <v>58</v>
      </c>
    </row>
    <row r="81" spans="1:12" x14ac:dyDescent="0.35">
      <c r="A81" t="s">
        <v>1143</v>
      </c>
      <c r="B81" s="4">
        <v>45299</v>
      </c>
      <c r="C81" t="s">
        <v>46</v>
      </c>
      <c r="D81" t="s">
        <v>89</v>
      </c>
      <c r="E81" t="s">
        <v>51</v>
      </c>
      <c r="F81" t="s">
        <v>74</v>
      </c>
      <c r="G81" t="s">
        <v>593</v>
      </c>
      <c r="H81">
        <v>4563.0600000000004</v>
      </c>
      <c r="I81">
        <v>1249.18</v>
      </c>
      <c r="J81">
        <v>6</v>
      </c>
      <c r="K81" t="s">
        <v>18</v>
      </c>
      <c r="L81" t="s">
        <v>61</v>
      </c>
    </row>
    <row r="82" spans="1:12" x14ac:dyDescent="0.35">
      <c r="A82" t="s">
        <v>400</v>
      </c>
      <c r="B82" s="4">
        <v>45312</v>
      </c>
      <c r="C82" t="s">
        <v>13</v>
      </c>
      <c r="D82" t="s">
        <v>82</v>
      </c>
      <c r="E82" t="s">
        <v>23</v>
      </c>
      <c r="F82" t="s">
        <v>69</v>
      </c>
      <c r="G82" t="s">
        <v>355</v>
      </c>
      <c r="H82">
        <v>4561.87</v>
      </c>
      <c r="I82">
        <v>895.14</v>
      </c>
      <c r="J82">
        <v>2</v>
      </c>
      <c r="K82" t="s">
        <v>32</v>
      </c>
      <c r="L82" t="s">
        <v>61</v>
      </c>
    </row>
    <row r="83" spans="1:12" x14ac:dyDescent="0.35">
      <c r="A83" t="s">
        <v>194</v>
      </c>
      <c r="B83" s="4">
        <v>45440</v>
      </c>
      <c r="C83" t="s">
        <v>35</v>
      </c>
      <c r="D83" t="s">
        <v>36</v>
      </c>
      <c r="E83" t="s">
        <v>23</v>
      </c>
      <c r="F83" t="s">
        <v>92</v>
      </c>
      <c r="G83" t="s">
        <v>195</v>
      </c>
      <c r="H83">
        <v>4561.07</v>
      </c>
      <c r="I83">
        <v>1506.16</v>
      </c>
      <c r="J83">
        <v>9</v>
      </c>
      <c r="K83" t="s">
        <v>26</v>
      </c>
      <c r="L83" t="s">
        <v>58</v>
      </c>
    </row>
    <row r="84" spans="1:12" x14ac:dyDescent="0.35">
      <c r="A84" t="s">
        <v>1112</v>
      </c>
      <c r="B84" s="4">
        <v>45584</v>
      </c>
      <c r="C84" t="s">
        <v>46</v>
      </c>
      <c r="D84" t="s">
        <v>89</v>
      </c>
      <c r="E84" t="s">
        <v>15</v>
      </c>
      <c r="F84" t="s">
        <v>30</v>
      </c>
      <c r="G84" t="s">
        <v>31</v>
      </c>
      <c r="H84">
        <v>4559.68</v>
      </c>
      <c r="I84">
        <v>1282.77</v>
      </c>
      <c r="J84">
        <v>1</v>
      </c>
      <c r="K84" t="s">
        <v>32</v>
      </c>
      <c r="L84" t="s">
        <v>61</v>
      </c>
    </row>
    <row r="85" spans="1:12" x14ac:dyDescent="0.35">
      <c r="A85" t="s">
        <v>1162</v>
      </c>
      <c r="B85" s="4">
        <v>45301</v>
      </c>
      <c r="C85" t="s">
        <v>46</v>
      </c>
      <c r="D85" t="s">
        <v>56</v>
      </c>
      <c r="E85" t="s">
        <v>51</v>
      </c>
      <c r="F85" t="s">
        <v>74</v>
      </c>
      <c r="G85" t="s">
        <v>550</v>
      </c>
      <c r="H85">
        <v>4558.3900000000003</v>
      </c>
      <c r="I85">
        <v>244.22</v>
      </c>
      <c r="J85">
        <v>4</v>
      </c>
      <c r="K85" t="s">
        <v>26</v>
      </c>
      <c r="L85" t="s">
        <v>54</v>
      </c>
    </row>
    <row r="86" spans="1:12" x14ac:dyDescent="0.35">
      <c r="A86" t="s">
        <v>620</v>
      </c>
      <c r="B86" s="4">
        <v>45471</v>
      </c>
      <c r="C86" t="s">
        <v>21</v>
      </c>
      <c r="D86" t="s">
        <v>65</v>
      </c>
      <c r="E86" t="s">
        <v>51</v>
      </c>
      <c r="F86" t="s">
        <v>52</v>
      </c>
      <c r="G86" t="s">
        <v>316</v>
      </c>
      <c r="H86">
        <v>4551.3500000000004</v>
      </c>
      <c r="I86">
        <v>324.97000000000003</v>
      </c>
      <c r="J86">
        <v>9</v>
      </c>
      <c r="K86" t="s">
        <v>26</v>
      </c>
      <c r="L86" t="s">
        <v>78</v>
      </c>
    </row>
    <row r="87" spans="1:12" x14ac:dyDescent="0.35">
      <c r="A87" t="s">
        <v>1063</v>
      </c>
      <c r="B87" s="4">
        <v>45646</v>
      </c>
      <c r="C87" t="s">
        <v>21</v>
      </c>
      <c r="D87" t="s">
        <v>65</v>
      </c>
      <c r="E87" t="s">
        <v>51</v>
      </c>
      <c r="F87" t="s">
        <v>52</v>
      </c>
      <c r="G87" t="s">
        <v>730</v>
      </c>
      <c r="H87">
        <v>4550.84</v>
      </c>
      <c r="I87">
        <v>655.26</v>
      </c>
      <c r="J87">
        <v>5</v>
      </c>
      <c r="K87" t="s">
        <v>32</v>
      </c>
      <c r="L87" t="s">
        <v>42</v>
      </c>
    </row>
    <row r="88" spans="1:12" x14ac:dyDescent="0.35">
      <c r="A88" t="s">
        <v>394</v>
      </c>
      <c r="B88" s="4">
        <v>45550</v>
      </c>
      <c r="C88" t="s">
        <v>46</v>
      </c>
      <c r="D88" t="s">
        <v>56</v>
      </c>
      <c r="E88" t="s">
        <v>23</v>
      </c>
      <c r="F88" t="s">
        <v>69</v>
      </c>
      <c r="G88" t="s">
        <v>208</v>
      </c>
      <c r="H88">
        <v>4535.53</v>
      </c>
      <c r="I88">
        <v>521.15</v>
      </c>
      <c r="J88">
        <v>2</v>
      </c>
      <c r="K88" t="s">
        <v>18</v>
      </c>
      <c r="L88" t="s">
        <v>58</v>
      </c>
    </row>
    <row r="89" spans="1:12" x14ac:dyDescent="0.35">
      <c r="A89" t="s">
        <v>1039</v>
      </c>
      <c r="B89" s="4">
        <v>45336</v>
      </c>
      <c r="C89" t="s">
        <v>21</v>
      </c>
      <c r="D89" t="s">
        <v>65</v>
      </c>
      <c r="E89" t="s">
        <v>15</v>
      </c>
      <c r="F89" t="s">
        <v>30</v>
      </c>
      <c r="G89" t="s">
        <v>835</v>
      </c>
      <c r="H89">
        <v>4530.6099999999997</v>
      </c>
      <c r="I89">
        <v>1553.69</v>
      </c>
      <c r="J89">
        <v>4</v>
      </c>
      <c r="K89" t="s">
        <v>26</v>
      </c>
      <c r="L89" t="s">
        <v>58</v>
      </c>
    </row>
    <row r="90" spans="1:12" x14ac:dyDescent="0.35">
      <c r="A90" t="s">
        <v>97</v>
      </c>
      <c r="B90" s="4">
        <v>45636</v>
      </c>
      <c r="C90" t="s">
        <v>46</v>
      </c>
      <c r="D90" t="s">
        <v>56</v>
      </c>
      <c r="E90" t="s">
        <v>23</v>
      </c>
      <c r="F90" t="s">
        <v>69</v>
      </c>
      <c r="G90" t="s">
        <v>98</v>
      </c>
      <c r="H90">
        <v>4528.83</v>
      </c>
      <c r="I90">
        <v>765.03</v>
      </c>
      <c r="J90">
        <v>4</v>
      </c>
      <c r="K90" t="s">
        <v>26</v>
      </c>
      <c r="L90" t="s">
        <v>58</v>
      </c>
    </row>
    <row r="91" spans="1:12" x14ac:dyDescent="0.35">
      <c r="A91" t="s">
        <v>1172</v>
      </c>
      <c r="B91" s="4">
        <v>45343</v>
      </c>
      <c r="C91" t="s">
        <v>21</v>
      </c>
      <c r="D91" t="s">
        <v>65</v>
      </c>
      <c r="E91" t="s">
        <v>51</v>
      </c>
      <c r="F91" t="s">
        <v>52</v>
      </c>
      <c r="G91" t="s">
        <v>422</v>
      </c>
      <c r="H91">
        <v>4528.3999999999996</v>
      </c>
      <c r="I91">
        <v>1514.5</v>
      </c>
      <c r="J91">
        <v>7</v>
      </c>
      <c r="K91" t="s">
        <v>26</v>
      </c>
      <c r="L91" t="s">
        <v>54</v>
      </c>
    </row>
    <row r="92" spans="1:12" x14ac:dyDescent="0.35">
      <c r="A92" t="s">
        <v>814</v>
      </c>
      <c r="B92" s="4">
        <v>45425</v>
      </c>
      <c r="C92" t="s">
        <v>35</v>
      </c>
      <c r="D92" t="s">
        <v>39</v>
      </c>
      <c r="E92" t="s">
        <v>51</v>
      </c>
      <c r="F92" t="s">
        <v>52</v>
      </c>
      <c r="G92" t="s">
        <v>422</v>
      </c>
      <c r="H92">
        <v>4528.33</v>
      </c>
      <c r="I92">
        <v>1244.54</v>
      </c>
      <c r="J92">
        <v>7</v>
      </c>
      <c r="K92" t="s">
        <v>18</v>
      </c>
      <c r="L92" t="s">
        <v>78</v>
      </c>
    </row>
    <row r="93" spans="1:12" x14ac:dyDescent="0.35">
      <c r="A93" t="s">
        <v>548</v>
      </c>
      <c r="B93" s="4">
        <v>45431</v>
      </c>
      <c r="C93" t="s">
        <v>13</v>
      </c>
      <c r="D93" t="s">
        <v>29</v>
      </c>
      <c r="E93" t="s">
        <v>15</v>
      </c>
      <c r="F93" t="s">
        <v>16</v>
      </c>
      <c r="G93" t="s">
        <v>156</v>
      </c>
      <c r="H93">
        <v>4526.25</v>
      </c>
      <c r="I93">
        <v>1342.61</v>
      </c>
      <c r="J93">
        <v>2</v>
      </c>
      <c r="K93" t="s">
        <v>32</v>
      </c>
      <c r="L93" t="s">
        <v>27</v>
      </c>
    </row>
    <row r="94" spans="1:12" x14ac:dyDescent="0.35">
      <c r="A94" t="s">
        <v>431</v>
      </c>
      <c r="B94" s="4">
        <v>45294</v>
      </c>
      <c r="C94" t="s">
        <v>46</v>
      </c>
      <c r="D94" t="s">
        <v>56</v>
      </c>
      <c r="E94" t="s">
        <v>51</v>
      </c>
      <c r="F94" t="s">
        <v>66</v>
      </c>
      <c r="G94" t="s">
        <v>351</v>
      </c>
      <c r="H94">
        <v>4524.83</v>
      </c>
      <c r="I94">
        <v>983.91</v>
      </c>
      <c r="J94">
        <v>6</v>
      </c>
      <c r="K94" t="s">
        <v>32</v>
      </c>
      <c r="L94" t="s">
        <v>61</v>
      </c>
    </row>
    <row r="95" spans="1:12" x14ac:dyDescent="0.35">
      <c r="A95" t="s">
        <v>135</v>
      </c>
      <c r="B95" s="4">
        <v>45604</v>
      </c>
      <c r="C95" t="s">
        <v>21</v>
      </c>
      <c r="D95" t="s">
        <v>65</v>
      </c>
      <c r="E95" t="s">
        <v>15</v>
      </c>
      <c r="F95" t="s">
        <v>16</v>
      </c>
      <c r="G95" t="s">
        <v>136</v>
      </c>
      <c r="H95">
        <v>4523.4399999999996</v>
      </c>
      <c r="I95">
        <v>822.13</v>
      </c>
      <c r="J95">
        <v>3</v>
      </c>
      <c r="K95" t="s">
        <v>26</v>
      </c>
      <c r="L95" t="s">
        <v>61</v>
      </c>
    </row>
    <row r="96" spans="1:12" x14ac:dyDescent="0.35">
      <c r="A96" t="s">
        <v>312</v>
      </c>
      <c r="B96" s="4">
        <v>45604</v>
      </c>
      <c r="C96" t="s">
        <v>35</v>
      </c>
      <c r="D96" t="s">
        <v>39</v>
      </c>
      <c r="E96" t="s">
        <v>23</v>
      </c>
      <c r="F96" t="s">
        <v>92</v>
      </c>
      <c r="G96" t="s">
        <v>313</v>
      </c>
      <c r="H96">
        <v>4521.34</v>
      </c>
      <c r="I96">
        <v>332.48</v>
      </c>
      <c r="J96">
        <v>2</v>
      </c>
      <c r="K96" t="s">
        <v>26</v>
      </c>
      <c r="L96" t="s">
        <v>61</v>
      </c>
    </row>
    <row r="97" spans="1:12" x14ac:dyDescent="0.35">
      <c r="A97" t="s">
        <v>1065</v>
      </c>
      <c r="B97" s="4">
        <v>45528</v>
      </c>
      <c r="C97" t="s">
        <v>35</v>
      </c>
      <c r="D97" t="s">
        <v>36</v>
      </c>
      <c r="E97" t="s">
        <v>23</v>
      </c>
      <c r="F97" t="s">
        <v>24</v>
      </c>
      <c r="G97" t="s">
        <v>149</v>
      </c>
      <c r="H97">
        <v>4517.1499999999996</v>
      </c>
      <c r="I97">
        <v>1043.54</v>
      </c>
      <c r="J97">
        <v>7</v>
      </c>
      <c r="K97" t="s">
        <v>18</v>
      </c>
      <c r="L97" t="s">
        <v>42</v>
      </c>
    </row>
    <row r="98" spans="1:12" x14ac:dyDescent="0.35">
      <c r="A98" t="s">
        <v>1007</v>
      </c>
      <c r="B98" s="4">
        <v>45565</v>
      </c>
      <c r="C98" t="s">
        <v>46</v>
      </c>
      <c r="D98" t="s">
        <v>47</v>
      </c>
      <c r="E98" t="s">
        <v>15</v>
      </c>
      <c r="F98" t="s">
        <v>40</v>
      </c>
      <c r="G98" t="s">
        <v>544</v>
      </c>
      <c r="H98">
        <v>4506.4799999999996</v>
      </c>
      <c r="I98">
        <v>838.29</v>
      </c>
      <c r="J98">
        <v>4</v>
      </c>
      <c r="K98" t="s">
        <v>32</v>
      </c>
      <c r="L98" t="s">
        <v>19</v>
      </c>
    </row>
    <row r="99" spans="1:12" x14ac:dyDescent="0.35">
      <c r="A99" t="s">
        <v>1016</v>
      </c>
      <c r="B99" s="4">
        <v>45415</v>
      </c>
      <c r="C99" t="s">
        <v>35</v>
      </c>
      <c r="D99" t="s">
        <v>39</v>
      </c>
      <c r="E99" t="s">
        <v>15</v>
      </c>
      <c r="F99" t="s">
        <v>16</v>
      </c>
      <c r="G99" t="s">
        <v>695</v>
      </c>
      <c r="H99">
        <v>4501.53</v>
      </c>
      <c r="I99">
        <v>1091.79</v>
      </c>
      <c r="J99">
        <v>4</v>
      </c>
      <c r="K99" t="s">
        <v>26</v>
      </c>
      <c r="L99" t="s">
        <v>19</v>
      </c>
    </row>
    <row r="100" spans="1:12" x14ac:dyDescent="0.35">
      <c r="A100" t="s">
        <v>720</v>
      </c>
      <c r="B100" s="4">
        <v>45364</v>
      </c>
      <c r="C100" t="s">
        <v>35</v>
      </c>
      <c r="D100" t="s">
        <v>50</v>
      </c>
      <c r="E100" t="s">
        <v>51</v>
      </c>
      <c r="F100" t="s">
        <v>66</v>
      </c>
      <c r="G100" t="s">
        <v>721</v>
      </c>
      <c r="H100">
        <v>4487.8900000000003</v>
      </c>
      <c r="I100">
        <v>889.32</v>
      </c>
      <c r="J100">
        <v>5</v>
      </c>
      <c r="K100" t="s">
        <v>32</v>
      </c>
      <c r="L100" t="s">
        <v>54</v>
      </c>
    </row>
    <row r="101" spans="1:12" x14ac:dyDescent="0.35">
      <c r="A101" t="s">
        <v>374</v>
      </c>
      <c r="B101" s="4">
        <v>45483</v>
      </c>
      <c r="C101" t="s">
        <v>46</v>
      </c>
      <c r="D101" t="s">
        <v>47</v>
      </c>
      <c r="E101" t="s">
        <v>23</v>
      </c>
      <c r="F101" t="s">
        <v>69</v>
      </c>
      <c r="G101" t="s">
        <v>98</v>
      </c>
      <c r="H101">
        <v>4486.01</v>
      </c>
      <c r="I101">
        <v>285.49</v>
      </c>
      <c r="J101">
        <v>7</v>
      </c>
      <c r="K101" t="s">
        <v>18</v>
      </c>
      <c r="L101" t="s">
        <v>33</v>
      </c>
    </row>
    <row r="102" spans="1:12" x14ac:dyDescent="0.35">
      <c r="A102" t="s">
        <v>300</v>
      </c>
      <c r="B102" s="4">
        <v>45517</v>
      </c>
      <c r="C102" t="s">
        <v>35</v>
      </c>
      <c r="D102" t="s">
        <v>39</v>
      </c>
      <c r="E102" t="s">
        <v>51</v>
      </c>
      <c r="F102" t="s">
        <v>74</v>
      </c>
      <c r="G102" t="s">
        <v>294</v>
      </c>
      <c r="H102">
        <v>4483.17</v>
      </c>
      <c r="I102">
        <v>415.84</v>
      </c>
      <c r="J102">
        <v>9</v>
      </c>
      <c r="K102" t="s">
        <v>32</v>
      </c>
      <c r="L102" t="s">
        <v>78</v>
      </c>
    </row>
    <row r="103" spans="1:12" x14ac:dyDescent="0.35">
      <c r="A103" t="s">
        <v>414</v>
      </c>
      <c r="B103" s="4">
        <v>45381</v>
      </c>
      <c r="C103" t="s">
        <v>46</v>
      </c>
      <c r="D103" t="s">
        <v>89</v>
      </c>
      <c r="E103" t="s">
        <v>51</v>
      </c>
      <c r="F103" t="s">
        <v>66</v>
      </c>
      <c r="G103" t="s">
        <v>85</v>
      </c>
      <c r="H103">
        <v>4479.18</v>
      </c>
      <c r="I103">
        <v>1235.32</v>
      </c>
      <c r="J103">
        <v>10</v>
      </c>
      <c r="K103" t="s">
        <v>26</v>
      </c>
      <c r="L103" t="s">
        <v>54</v>
      </c>
    </row>
    <row r="104" spans="1:12" x14ac:dyDescent="0.35">
      <c r="A104" t="s">
        <v>1008</v>
      </c>
      <c r="B104" s="4">
        <v>45525</v>
      </c>
      <c r="C104" t="s">
        <v>35</v>
      </c>
      <c r="D104" t="s">
        <v>39</v>
      </c>
      <c r="E104" t="s">
        <v>51</v>
      </c>
      <c r="F104" t="s">
        <v>74</v>
      </c>
      <c r="G104" t="s">
        <v>593</v>
      </c>
      <c r="H104">
        <v>4477.1000000000004</v>
      </c>
      <c r="I104">
        <v>1306.4000000000001</v>
      </c>
      <c r="J104">
        <v>10</v>
      </c>
      <c r="K104" t="s">
        <v>26</v>
      </c>
      <c r="L104" t="s">
        <v>42</v>
      </c>
    </row>
    <row r="105" spans="1:12" x14ac:dyDescent="0.35">
      <c r="A105" t="s">
        <v>725</v>
      </c>
      <c r="B105" s="4">
        <v>45402</v>
      </c>
      <c r="C105" t="s">
        <v>13</v>
      </c>
      <c r="D105" t="s">
        <v>29</v>
      </c>
      <c r="E105" t="s">
        <v>23</v>
      </c>
      <c r="F105" t="s">
        <v>69</v>
      </c>
      <c r="G105" t="s">
        <v>218</v>
      </c>
      <c r="H105">
        <v>4459.84</v>
      </c>
      <c r="I105">
        <v>375.9</v>
      </c>
      <c r="J105">
        <v>4</v>
      </c>
      <c r="K105" t="s">
        <v>26</v>
      </c>
      <c r="L105" t="s">
        <v>19</v>
      </c>
    </row>
    <row r="106" spans="1:12" x14ac:dyDescent="0.35">
      <c r="A106" t="s">
        <v>38</v>
      </c>
      <c r="B106" s="4">
        <v>45367</v>
      </c>
      <c r="C106" t="s">
        <v>35</v>
      </c>
      <c r="D106" t="s">
        <v>39</v>
      </c>
      <c r="E106" t="s">
        <v>15</v>
      </c>
      <c r="F106" t="s">
        <v>40</v>
      </c>
      <c r="G106" t="s">
        <v>41</v>
      </c>
      <c r="H106">
        <v>4444.88</v>
      </c>
      <c r="I106">
        <v>687.9</v>
      </c>
      <c r="J106">
        <v>5</v>
      </c>
      <c r="K106" t="s">
        <v>18</v>
      </c>
      <c r="L106" t="s">
        <v>42</v>
      </c>
    </row>
    <row r="107" spans="1:12" x14ac:dyDescent="0.35">
      <c r="A107" t="s">
        <v>952</v>
      </c>
      <c r="B107" s="4">
        <v>45418</v>
      </c>
      <c r="C107" t="s">
        <v>21</v>
      </c>
      <c r="D107" t="s">
        <v>65</v>
      </c>
      <c r="E107" t="s">
        <v>23</v>
      </c>
      <c r="F107" t="s">
        <v>24</v>
      </c>
      <c r="G107" t="s">
        <v>149</v>
      </c>
      <c r="H107">
        <v>4440.16</v>
      </c>
      <c r="I107">
        <v>1447.13</v>
      </c>
      <c r="J107">
        <v>3</v>
      </c>
      <c r="K107" t="s">
        <v>26</v>
      </c>
      <c r="L107" t="s">
        <v>54</v>
      </c>
    </row>
    <row r="108" spans="1:12" x14ac:dyDescent="0.35">
      <c r="A108" t="s">
        <v>598</v>
      </c>
      <c r="B108" s="4">
        <v>45543</v>
      </c>
      <c r="C108" t="s">
        <v>35</v>
      </c>
      <c r="D108" t="s">
        <v>50</v>
      </c>
      <c r="E108" t="s">
        <v>23</v>
      </c>
      <c r="F108" t="s">
        <v>24</v>
      </c>
      <c r="G108" t="s">
        <v>212</v>
      </c>
      <c r="H108">
        <v>4438.79</v>
      </c>
      <c r="I108">
        <v>407.36</v>
      </c>
      <c r="J108">
        <v>1</v>
      </c>
      <c r="K108" t="s">
        <v>32</v>
      </c>
      <c r="L108" t="s">
        <v>42</v>
      </c>
    </row>
    <row r="109" spans="1:12" x14ac:dyDescent="0.35">
      <c r="A109" t="s">
        <v>762</v>
      </c>
      <c r="B109" s="4">
        <v>45309</v>
      </c>
      <c r="C109" t="s">
        <v>13</v>
      </c>
      <c r="D109" t="s">
        <v>82</v>
      </c>
      <c r="E109" t="s">
        <v>51</v>
      </c>
      <c r="F109" t="s">
        <v>66</v>
      </c>
      <c r="G109" t="s">
        <v>737</v>
      </c>
      <c r="H109">
        <v>4431.97</v>
      </c>
      <c r="I109">
        <v>1352.49</v>
      </c>
      <c r="J109">
        <v>7</v>
      </c>
      <c r="K109" t="s">
        <v>32</v>
      </c>
      <c r="L109" t="s">
        <v>19</v>
      </c>
    </row>
    <row r="110" spans="1:12" x14ac:dyDescent="0.35">
      <c r="A110" t="s">
        <v>537</v>
      </c>
      <c r="B110" s="4">
        <v>45358</v>
      </c>
      <c r="C110" t="s">
        <v>46</v>
      </c>
      <c r="D110" t="s">
        <v>89</v>
      </c>
      <c r="E110" t="s">
        <v>51</v>
      </c>
      <c r="F110" t="s">
        <v>52</v>
      </c>
      <c r="G110" t="s">
        <v>201</v>
      </c>
      <c r="H110">
        <v>4421.5600000000004</v>
      </c>
      <c r="I110">
        <v>730.88</v>
      </c>
      <c r="J110">
        <v>7</v>
      </c>
      <c r="K110" t="s">
        <v>32</v>
      </c>
      <c r="L110" t="s">
        <v>42</v>
      </c>
    </row>
    <row r="111" spans="1:12" x14ac:dyDescent="0.35">
      <c r="A111" t="s">
        <v>678</v>
      </c>
      <c r="B111" s="4">
        <v>45584</v>
      </c>
      <c r="C111" t="s">
        <v>21</v>
      </c>
      <c r="D111" t="s">
        <v>134</v>
      </c>
      <c r="E111" t="s">
        <v>15</v>
      </c>
      <c r="F111" t="s">
        <v>40</v>
      </c>
      <c r="G111" t="s">
        <v>41</v>
      </c>
      <c r="H111">
        <v>4418.51</v>
      </c>
      <c r="I111">
        <v>1058.95</v>
      </c>
      <c r="J111">
        <v>1</v>
      </c>
      <c r="K111" t="s">
        <v>32</v>
      </c>
      <c r="L111" t="s">
        <v>42</v>
      </c>
    </row>
    <row r="112" spans="1:12" x14ac:dyDescent="0.35">
      <c r="A112" t="s">
        <v>126</v>
      </c>
      <c r="B112" s="4">
        <v>45582</v>
      </c>
      <c r="C112" t="s">
        <v>35</v>
      </c>
      <c r="D112" t="s">
        <v>39</v>
      </c>
      <c r="E112" t="s">
        <v>15</v>
      </c>
      <c r="F112" t="s">
        <v>40</v>
      </c>
      <c r="G112" t="s">
        <v>127</v>
      </c>
      <c r="H112">
        <v>4408.92</v>
      </c>
      <c r="I112">
        <v>969.01</v>
      </c>
      <c r="J112">
        <v>4</v>
      </c>
      <c r="K112" t="s">
        <v>18</v>
      </c>
      <c r="L112" t="s">
        <v>61</v>
      </c>
    </row>
    <row r="113" spans="1:12" x14ac:dyDescent="0.35">
      <c r="A113" t="s">
        <v>936</v>
      </c>
      <c r="B113" s="4">
        <v>45600</v>
      </c>
      <c r="C113" t="s">
        <v>21</v>
      </c>
      <c r="D113" t="s">
        <v>22</v>
      </c>
      <c r="E113" t="s">
        <v>15</v>
      </c>
      <c r="F113" t="s">
        <v>30</v>
      </c>
      <c r="G113" t="s">
        <v>937</v>
      </c>
      <c r="H113">
        <v>4400.33</v>
      </c>
      <c r="I113">
        <v>1034.3800000000001</v>
      </c>
      <c r="J113">
        <v>3</v>
      </c>
      <c r="K113" t="s">
        <v>18</v>
      </c>
      <c r="L113" t="s">
        <v>61</v>
      </c>
    </row>
    <row r="114" spans="1:12" x14ac:dyDescent="0.35">
      <c r="A114" t="s">
        <v>1188</v>
      </c>
      <c r="B114" s="4">
        <v>45561</v>
      </c>
      <c r="C114" t="s">
        <v>35</v>
      </c>
      <c r="D114" t="s">
        <v>50</v>
      </c>
      <c r="E114" t="s">
        <v>51</v>
      </c>
      <c r="F114" t="s">
        <v>52</v>
      </c>
      <c r="G114" t="s">
        <v>730</v>
      </c>
      <c r="H114">
        <v>4399.7299999999996</v>
      </c>
      <c r="I114">
        <v>494.03</v>
      </c>
      <c r="J114">
        <v>5</v>
      </c>
      <c r="K114" t="s">
        <v>32</v>
      </c>
      <c r="L114" t="s">
        <v>58</v>
      </c>
    </row>
    <row r="115" spans="1:12" x14ac:dyDescent="0.35">
      <c r="A115" t="s">
        <v>565</v>
      </c>
      <c r="B115" s="4">
        <v>45466</v>
      </c>
      <c r="C115" t="s">
        <v>35</v>
      </c>
      <c r="D115" t="s">
        <v>39</v>
      </c>
      <c r="E115" t="s">
        <v>23</v>
      </c>
      <c r="F115" t="s">
        <v>92</v>
      </c>
      <c r="G115" t="s">
        <v>566</v>
      </c>
      <c r="H115">
        <v>4399.49</v>
      </c>
      <c r="I115">
        <v>471.06</v>
      </c>
      <c r="J115">
        <v>8</v>
      </c>
      <c r="K115" t="s">
        <v>26</v>
      </c>
      <c r="L115" t="s">
        <v>27</v>
      </c>
    </row>
    <row r="116" spans="1:12" x14ac:dyDescent="0.35">
      <c r="A116" t="s">
        <v>526</v>
      </c>
      <c r="B116" s="4">
        <v>45368</v>
      </c>
      <c r="C116" t="s">
        <v>46</v>
      </c>
      <c r="D116" t="s">
        <v>56</v>
      </c>
      <c r="E116" t="s">
        <v>23</v>
      </c>
      <c r="F116" t="s">
        <v>92</v>
      </c>
      <c r="G116" t="s">
        <v>142</v>
      </c>
      <c r="H116">
        <v>4387.3900000000003</v>
      </c>
      <c r="I116">
        <v>876.81</v>
      </c>
      <c r="J116">
        <v>5</v>
      </c>
      <c r="K116" t="s">
        <v>18</v>
      </c>
      <c r="L116" t="s">
        <v>42</v>
      </c>
    </row>
    <row r="117" spans="1:12" x14ac:dyDescent="0.35">
      <c r="A117" t="s">
        <v>520</v>
      </c>
      <c r="B117" s="4">
        <v>45405</v>
      </c>
      <c r="C117" t="s">
        <v>21</v>
      </c>
      <c r="D117" t="s">
        <v>22</v>
      </c>
      <c r="E117" t="s">
        <v>51</v>
      </c>
      <c r="F117" t="s">
        <v>66</v>
      </c>
      <c r="G117" t="s">
        <v>396</v>
      </c>
      <c r="H117">
        <v>4386.87</v>
      </c>
      <c r="I117">
        <v>1052.17</v>
      </c>
      <c r="J117">
        <v>3</v>
      </c>
      <c r="K117" t="s">
        <v>32</v>
      </c>
      <c r="L117" t="s">
        <v>58</v>
      </c>
    </row>
    <row r="118" spans="1:12" x14ac:dyDescent="0.35">
      <c r="A118" t="s">
        <v>1024</v>
      </c>
      <c r="B118" s="4">
        <v>45508</v>
      </c>
      <c r="C118" t="s">
        <v>35</v>
      </c>
      <c r="D118" t="s">
        <v>39</v>
      </c>
      <c r="E118" t="s">
        <v>15</v>
      </c>
      <c r="F118" t="s">
        <v>40</v>
      </c>
      <c r="G118" t="s">
        <v>163</v>
      </c>
      <c r="H118">
        <v>4383.9399999999996</v>
      </c>
      <c r="I118">
        <v>1408.24</v>
      </c>
      <c r="J118">
        <v>2</v>
      </c>
      <c r="K118" t="s">
        <v>18</v>
      </c>
      <c r="L118" t="s">
        <v>27</v>
      </c>
    </row>
    <row r="119" spans="1:12" x14ac:dyDescent="0.35">
      <c r="A119" t="s">
        <v>1165</v>
      </c>
      <c r="B119" s="4">
        <v>45573</v>
      </c>
      <c r="C119" t="s">
        <v>46</v>
      </c>
      <c r="D119" t="s">
        <v>56</v>
      </c>
      <c r="E119" t="s">
        <v>51</v>
      </c>
      <c r="F119" t="s">
        <v>52</v>
      </c>
      <c r="G119" t="s">
        <v>80</v>
      </c>
      <c r="H119">
        <v>4373.84</v>
      </c>
      <c r="I119">
        <v>631.77</v>
      </c>
      <c r="J119">
        <v>6</v>
      </c>
      <c r="K119" t="s">
        <v>18</v>
      </c>
      <c r="L119" t="s">
        <v>42</v>
      </c>
    </row>
    <row r="120" spans="1:12" x14ac:dyDescent="0.35">
      <c r="A120" t="s">
        <v>1104</v>
      </c>
      <c r="B120" s="4">
        <v>45434</v>
      </c>
      <c r="C120" t="s">
        <v>21</v>
      </c>
      <c r="D120" t="s">
        <v>134</v>
      </c>
      <c r="E120" t="s">
        <v>51</v>
      </c>
      <c r="F120" t="s">
        <v>74</v>
      </c>
      <c r="G120" t="s">
        <v>210</v>
      </c>
      <c r="H120">
        <v>4370.5</v>
      </c>
      <c r="I120">
        <v>1181.7</v>
      </c>
      <c r="J120">
        <v>6</v>
      </c>
      <c r="K120" t="s">
        <v>32</v>
      </c>
      <c r="L120" t="s">
        <v>78</v>
      </c>
    </row>
    <row r="121" spans="1:12" x14ac:dyDescent="0.35">
      <c r="A121" t="s">
        <v>944</v>
      </c>
      <c r="B121" s="4">
        <v>45653</v>
      </c>
      <c r="C121" t="s">
        <v>21</v>
      </c>
      <c r="D121" t="s">
        <v>65</v>
      </c>
      <c r="E121" t="s">
        <v>51</v>
      </c>
      <c r="F121" t="s">
        <v>66</v>
      </c>
      <c r="G121" t="s">
        <v>721</v>
      </c>
      <c r="H121">
        <v>4368.46</v>
      </c>
      <c r="I121">
        <v>979.44</v>
      </c>
      <c r="J121">
        <v>8</v>
      </c>
      <c r="K121" t="s">
        <v>26</v>
      </c>
      <c r="L121" t="s">
        <v>61</v>
      </c>
    </row>
    <row r="122" spans="1:12" x14ac:dyDescent="0.35">
      <c r="A122" t="s">
        <v>923</v>
      </c>
      <c r="B122" s="4">
        <v>45568</v>
      </c>
      <c r="C122" t="s">
        <v>35</v>
      </c>
      <c r="D122" t="s">
        <v>50</v>
      </c>
      <c r="E122" t="s">
        <v>51</v>
      </c>
      <c r="F122" t="s">
        <v>74</v>
      </c>
      <c r="G122" t="s">
        <v>75</v>
      </c>
      <c r="H122">
        <v>4365.59</v>
      </c>
      <c r="I122">
        <v>617.17999999999995</v>
      </c>
      <c r="J122">
        <v>1</v>
      </c>
      <c r="K122" t="s">
        <v>32</v>
      </c>
      <c r="L122" t="s">
        <v>27</v>
      </c>
    </row>
    <row r="123" spans="1:12" x14ac:dyDescent="0.35">
      <c r="A123" t="s">
        <v>735</v>
      </c>
      <c r="B123" s="4">
        <v>45550</v>
      </c>
      <c r="C123" t="s">
        <v>46</v>
      </c>
      <c r="D123" t="s">
        <v>47</v>
      </c>
      <c r="E123" t="s">
        <v>15</v>
      </c>
      <c r="F123" t="s">
        <v>40</v>
      </c>
      <c r="G123" t="s">
        <v>176</v>
      </c>
      <c r="H123">
        <v>4361</v>
      </c>
      <c r="I123">
        <v>1241.04</v>
      </c>
      <c r="J123">
        <v>9</v>
      </c>
      <c r="K123" t="s">
        <v>26</v>
      </c>
      <c r="L123" t="s">
        <v>54</v>
      </c>
    </row>
    <row r="124" spans="1:12" x14ac:dyDescent="0.35">
      <c r="A124" t="s">
        <v>1019</v>
      </c>
      <c r="B124" s="4">
        <v>45564</v>
      </c>
      <c r="C124" t="s">
        <v>13</v>
      </c>
      <c r="D124" t="s">
        <v>14</v>
      </c>
      <c r="E124" t="s">
        <v>15</v>
      </c>
      <c r="F124" t="s">
        <v>16</v>
      </c>
      <c r="G124" t="s">
        <v>199</v>
      </c>
      <c r="H124">
        <v>4358.26</v>
      </c>
      <c r="I124">
        <v>413.41</v>
      </c>
      <c r="J124">
        <v>2</v>
      </c>
      <c r="K124" t="s">
        <v>26</v>
      </c>
      <c r="L124" t="s">
        <v>58</v>
      </c>
    </row>
    <row r="125" spans="1:12" x14ac:dyDescent="0.35">
      <c r="A125" t="s">
        <v>848</v>
      </c>
      <c r="B125" s="4">
        <v>45419</v>
      </c>
      <c r="C125" t="s">
        <v>46</v>
      </c>
      <c r="D125" t="s">
        <v>89</v>
      </c>
      <c r="E125" t="s">
        <v>15</v>
      </c>
      <c r="F125" t="s">
        <v>40</v>
      </c>
      <c r="G125" t="s">
        <v>44</v>
      </c>
      <c r="H125">
        <v>4354.72</v>
      </c>
      <c r="I125">
        <v>1116.79</v>
      </c>
      <c r="J125">
        <v>5</v>
      </c>
      <c r="K125" t="s">
        <v>18</v>
      </c>
      <c r="L125" t="s">
        <v>61</v>
      </c>
    </row>
    <row r="126" spans="1:12" x14ac:dyDescent="0.35">
      <c r="A126" t="s">
        <v>928</v>
      </c>
      <c r="B126" s="4">
        <v>45555</v>
      </c>
      <c r="C126" t="s">
        <v>35</v>
      </c>
      <c r="D126" t="s">
        <v>39</v>
      </c>
      <c r="E126" t="s">
        <v>23</v>
      </c>
      <c r="F126" t="s">
        <v>24</v>
      </c>
      <c r="G126" t="s">
        <v>169</v>
      </c>
      <c r="H126">
        <v>4348.7</v>
      </c>
      <c r="I126">
        <v>347.44</v>
      </c>
      <c r="J126">
        <v>8</v>
      </c>
      <c r="K126" t="s">
        <v>26</v>
      </c>
      <c r="L126" t="s">
        <v>19</v>
      </c>
    </row>
    <row r="127" spans="1:12" x14ac:dyDescent="0.35">
      <c r="A127" t="s">
        <v>233</v>
      </c>
      <c r="B127" s="4">
        <v>45430</v>
      </c>
      <c r="C127" t="s">
        <v>13</v>
      </c>
      <c r="D127" t="s">
        <v>82</v>
      </c>
      <c r="E127" t="s">
        <v>51</v>
      </c>
      <c r="F127" t="s">
        <v>52</v>
      </c>
      <c r="G127" t="s">
        <v>121</v>
      </c>
      <c r="H127">
        <v>4345.26</v>
      </c>
      <c r="I127">
        <v>500.62</v>
      </c>
      <c r="J127">
        <v>2</v>
      </c>
      <c r="K127" t="s">
        <v>32</v>
      </c>
      <c r="L127" t="s">
        <v>27</v>
      </c>
    </row>
    <row r="128" spans="1:12" x14ac:dyDescent="0.35">
      <c r="A128" t="s">
        <v>637</v>
      </c>
      <c r="B128" s="4">
        <v>45392</v>
      </c>
      <c r="C128" t="s">
        <v>21</v>
      </c>
      <c r="D128" t="s">
        <v>65</v>
      </c>
      <c r="E128" t="s">
        <v>23</v>
      </c>
      <c r="F128" t="s">
        <v>24</v>
      </c>
      <c r="G128" t="s">
        <v>103</v>
      </c>
      <c r="H128">
        <v>4340.43</v>
      </c>
      <c r="I128">
        <v>283.95</v>
      </c>
      <c r="J128">
        <v>1</v>
      </c>
      <c r="K128" t="s">
        <v>26</v>
      </c>
      <c r="L128" t="s">
        <v>78</v>
      </c>
    </row>
    <row r="129" spans="1:12" x14ac:dyDescent="0.35">
      <c r="A129" t="s">
        <v>1108</v>
      </c>
      <c r="B129" s="4">
        <v>45314</v>
      </c>
      <c r="C129" t="s">
        <v>35</v>
      </c>
      <c r="D129" t="s">
        <v>36</v>
      </c>
      <c r="E129" t="s">
        <v>23</v>
      </c>
      <c r="F129" t="s">
        <v>92</v>
      </c>
      <c r="G129" t="s">
        <v>446</v>
      </c>
      <c r="H129">
        <v>4321.97</v>
      </c>
      <c r="I129">
        <v>229.15</v>
      </c>
      <c r="J129">
        <v>6</v>
      </c>
      <c r="K129" t="s">
        <v>18</v>
      </c>
      <c r="L129" t="s">
        <v>61</v>
      </c>
    </row>
    <row r="130" spans="1:12" x14ac:dyDescent="0.35">
      <c r="A130" t="s">
        <v>238</v>
      </c>
      <c r="B130" s="4">
        <v>45412</v>
      </c>
      <c r="C130" t="s">
        <v>13</v>
      </c>
      <c r="D130" t="s">
        <v>14</v>
      </c>
      <c r="E130" t="s">
        <v>51</v>
      </c>
      <c r="F130" t="s">
        <v>66</v>
      </c>
      <c r="G130" t="s">
        <v>239</v>
      </c>
      <c r="H130">
        <v>4321.68</v>
      </c>
      <c r="I130">
        <v>482.86</v>
      </c>
      <c r="J130">
        <v>4</v>
      </c>
      <c r="K130" t="s">
        <v>32</v>
      </c>
      <c r="L130" t="s">
        <v>58</v>
      </c>
    </row>
    <row r="131" spans="1:12" x14ac:dyDescent="0.35">
      <c r="A131" t="s">
        <v>143</v>
      </c>
      <c r="B131" s="4">
        <v>45310</v>
      </c>
      <c r="C131" t="s">
        <v>46</v>
      </c>
      <c r="D131" t="s">
        <v>56</v>
      </c>
      <c r="E131" t="s">
        <v>15</v>
      </c>
      <c r="F131" t="s">
        <v>40</v>
      </c>
      <c r="G131" t="s">
        <v>144</v>
      </c>
      <c r="H131">
        <v>4320.7</v>
      </c>
      <c r="I131">
        <v>569.57000000000005</v>
      </c>
      <c r="J131">
        <v>5</v>
      </c>
      <c r="K131" t="s">
        <v>18</v>
      </c>
      <c r="L131" t="s">
        <v>54</v>
      </c>
    </row>
    <row r="132" spans="1:12" x14ac:dyDescent="0.35">
      <c r="A132" t="s">
        <v>383</v>
      </c>
      <c r="B132" s="4">
        <v>45327</v>
      </c>
      <c r="C132" t="s">
        <v>13</v>
      </c>
      <c r="D132" t="s">
        <v>82</v>
      </c>
      <c r="E132" t="s">
        <v>23</v>
      </c>
      <c r="F132" t="s">
        <v>24</v>
      </c>
      <c r="G132" t="s">
        <v>281</v>
      </c>
      <c r="H132">
        <v>4307.5600000000004</v>
      </c>
      <c r="I132">
        <v>1351.46</v>
      </c>
      <c r="J132">
        <v>4</v>
      </c>
      <c r="K132" t="s">
        <v>32</v>
      </c>
      <c r="L132" t="s">
        <v>78</v>
      </c>
    </row>
    <row r="133" spans="1:12" x14ac:dyDescent="0.35">
      <c r="A133" t="s">
        <v>513</v>
      </c>
      <c r="B133" s="4">
        <v>45519</v>
      </c>
      <c r="C133" t="s">
        <v>46</v>
      </c>
      <c r="D133" t="s">
        <v>47</v>
      </c>
      <c r="E133" t="s">
        <v>15</v>
      </c>
      <c r="F133" t="s">
        <v>16</v>
      </c>
      <c r="G133" t="s">
        <v>327</v>
      </c>
      <c r="H133">
        <v>4299.3100000000004</v>
      </c>
      <c r="I133">
        <v>1159.5999999999999</v>
      </c>
      <c r="J133">
        <v>10</v>
      </c>
      <c r="K133" t="s">
        <v>32</v>
      </c>
      <c r="L133" t="s">
        <v>27</v>
      </c>
    </row>
    <row r="134" spans="1:12" x14ac:dyDescent="0.35">
      <c r="A134" t="s">
        <v>270</v>
      </c>
      <c r="B134" s="4">
        <v>45431</v>
      </c>
      <c r="C134" t="s">
        <v>35</v>
      </c>
      <c r="D134" t="s">
        <v>36</v>
      </c>
      <c r="E134" t="s">
        <v>15</v>
      </c>
      <c r="F134" t="s">
        <v>30</v>
      </c>
      <c r="G134" t="s">
        <v>271</v>
      </c>
      <c r="H134">
        <v>4294.76</v>
      </c>
      <c r="I134">
        <v>1427.87</v>
      </c>
      <c r="J134">
        <v>5</v>
      </c>
      <c r="K134" t="s">
        <v>18</v>
      </c>
      <c r="L134" t="s">
        <v>61</v>
      </c>
    </row>
    <row r="135" spans="1:12" x14ac:dyDescent="0.35">
      <c r="A135" t="s">
        <v>430</v>
      </c>
      <c r="B135" s="4">
        <v>45535</v>
      </c>
      <c r="C135" t="s">
        <v>13</v>
      </c>
      <c r="D135" t="s">
        <v>29</v>
      </c>
      <c r="E135" t="s">
        <v>51</v>
      </c>
      <c r="F135" t="s">
        <v>74</v>
      </c>
      <c r="G135" t="s">
        <v>294</v>
      </c>
      <c r="H135">
        <v>4293.51</v>
      </c>
      <c r="I135">
        <v>1290.96</v>
      </c>
      <c r="J135">
        <v>1</v>
      </c>
      <c r="K135" t="s">
        <v>32</v>
      </c>
      <c r="L135" t="s">
        <v>19</v>
      </c>
    </row>
    <row r="136" spans="1:12" x14ac:dyDescent="0.35">
      <c r="A136" t="s">
        <v>409</v>
      </c>
      <c r="B136" s="4">
        <v>45459</v>
      </c>
      <c r="C136" t="s">
        <v>46</v>
      </c>
      <c r="D136" t="s">
        <v>47</v>
      </c>
      <c r="E136" t="s">
        <v>51</v>
      </c>
      <c r="F136" t="s">
        <v>66</v>
      </c>
      <c r="G136" t="s">
        <v>85</v>
      </c>
      <c r="H136">
        <v>4287.67</v>
      </c>
      <c r="I136">
        <v>254.66</v>
      </c>
      <c r="J136">
        <v>10</v>
      </c>
      <c r="K136" t="s">
        <v>26</v>
      </c>
      <c r="L136" t="s">
        <v>54</v>
      </c>
    </row>
    <row r="137" spans="1:12" x14ac:dyDescent="0.35">
      <c r="A137" t="s">
        <v>1153</v>
      </c>
      <c r="B137" s="4">
        <v>45357</v>
      </c>
      <c r="C137" t="s">
        <v>35</v>
      </c>
      <c r="D137" t="s">
        <v>50</v>
      </c>
      <c r="E137" t="s">
        <v>51</v>
      </c>
      <c r="F137" t="s">
        <v>66</v>
      </c>
      <c r="G137" t="s">
        <v>362</v>
      </c>
      <c r="H137">
        <v>4287.3</v>
      </c>
      <c r="I137">
        <v>818.75</v>
      </c>
      <c r="J137">
        <v>8</v>
      </c>
      <c r="K137" t="s">
        <v>32</v>
      </c>
      <c r="L137" t="s">
        <v>61</v>
      </c>
    </row>
    <row r="138" spans="1:12" x14ac:dyDescent="0.35">
      <c r="A138" t="s">
        <v>545</v>
      </c>
      <c r="B138" s="4">
        <v>45486</v>
      </c>
      <c r="C138" t="s">
        <v>13</v>
      </c>
      <c r="D138" t="s">
        <v>29</v>
      </c>
      <c r="E138" t="s">
        <v>15</v>
      </c>
      <c r="F138" t="s">
        <v>30</v>
      </c>
      <c r="G138" t="s">
        <v>489</v>
      </c>
      <c r="H138">
        <v>4287.16</v>
      </c>
      <c r="I138">
        <v>787.54</v>
      </c>
      <c r="J138">
        <v>8</v>
      </c>
      <c r="K138" t="s">
        <v>18</v>
      </c>
      <c r="L138" t="s">
        <v>61</v>
      </c>
    </row>
    <row r="139" spans="1:12" x14ac:dyDescent="0.35">
      <c r="A139" t="s">
        <v>902</v>
      </c>
      <c r="B139" s="4">
        <v>45552</v>
      </c>
      <c r="C139" t="s">
        <v>46</v>
      </c>
      <c r="D139" t="s">
        <v>56</v>
      </c>
      <c r="E139" t="s">
        <v>15</v>
      </c>
      <c r="F139" t="s">
        <v>16</v>
      </c>
      <c r="G139" t="s">
        <v>125</v>
      </c>
      <c r="H139">
        <v>4284.72</v>
      </c>
      <c r="I139">
        <v>1037.3800000000001</v>
      </c>
      <c r="J139">
        <v>1</v>
      </c>
      <c r="K139" t="s">
        <v>32</v>
      </c>
      <c r="L139" t="s">
        <v>61</v>
      </c>
    </row>
    <row r="140" spans="1:12" x14ac:dyDescent="0.35">
      <c r="A140" t="s">
        <v>935</v>
      </c>
      <c r="B140" s="4">
        <v>45533</v>
      </c>
      <c r="C140" t="s">
        <v>46</v>
      </c>
      <c r="D140" t="s">
        <v>89</v>
      </c>
      <c r="E140" t="s">
        <v>15</v>
      </c>
      <c r="F140" t="s">
        <v>40</v>
      </c>
      <c r="G140" t="s">
        <v>690</v>
      </c>
      <c r="H140">
        <v>4283.72</v>
      </c>
      <c r="I140">
        <v>395.49</v>
      </c>
      <c r="J140">
        <v>1</v>
      </c>
      <c r="K140" t="s">
        <v>32</v>
      </c>
      <c r="L140" t="s">
        <v>33</v>
      </c>
    </row>
    <row r="141" spans="1:12" x14ac:dyDescent="0.35">
      <c r="A141" t="s">
        <v>588</v>
      </c>
      <c r="B141" s="4">
        <v>45463</v>
      </c>
      <c r="C141" t="s">
        <v>46</v>
      </c>
      <c r="D141" t="s">
        <v>89</v>
      </c>
      <c r="E141" t="s">
        <v>15</v>
      </c>
      <c r="F141" t="s">
        <v>16</v>
      </c>
      <c r="G141" t="s">
        <v>117</v>
      </c>
      <c r="H141">
        <v>4281.37</v>
      </c>
      <c r="I141">
        <v>1278.94</v>
      </c>
      <c r="J141">
        <v>5</v>
      </c>
      <c r="K141" t="s">
        <v>18</v>
      </c>
      <c r="L141" t="s">
        <v>33</v>
      </c>
    </row>
    <row r="142" spans="1:12" x14ac:dyDescent="0.35">
      <c r="A142" t="s">
        <v>830</v>
      </c>
      <c r="B142" s="4">
        <v>45452</v>
      </c>
      <c r="C142" t="s">
        <v>13</v>
      </c>
      <c r="D142" t="s">
        <v>82</v>
      </c>
      <c r="E142" t="s">
        <v>23</v>
      </c>
      <c r="F142" t="s">
        <v>92</v>
      </c>
      <c r="G142" t="s">
        <v>831</v>
      </c>
      <c r="H142">
        <v>4280.3999999999996</v>
      </c>
      <c r="I142">
        <v>957.31</v>
      </c>
      <c r="J142">
        <v>5</v>
      </c>
      <c r="K142" t="s">
        <v>18</v>
      </c>
      <c r="L142" t="s">
        <v>42</v>
      </c>
    </row>
    <row r="143" spans="1:12" x14ac:dyDescent="0.35">
      <c r="A143" t="s">
        <v>164</v>
      </c>
      <c r="B143" s="4">
        <v>45440</v>
      </c>
      <c r="C143" t="s">
        <v>13</v>
      </c>
      <c r="D143" t="s">
        <v>29</v>
      </c>
      <c r="E143" t="s">
        <v>23</v>
      </c>
      <c r="F143" t="s">
        <v>92</v>
      </c>
      <c r="G143" t="s">
        <v>165</v>
      </c>
      <c r="H143">
        <v>4276.26</v>
      </c>
      <c r="I143">
        <v>1023.34</v>
      </c>
      <c r="J143">
        <v>3</v>
      </c>
      <c r="K143" t="s">
        <v>26</v>
      </c>
      <c r="L143" t="s">
        <v>27</v>
      </c>
    </row>
    <row r="144" spans="1:12" x14ac:dyDescent="0.35">
      <c r="A144" t="s">
        <v>200</v>
      </c>
      <c r="B144" s="4">
        <v>45494</v>
      </c>
      <c r="C144" t="s">
        <v>21</v>
      </c>
      <c r="D144" t="s">
        <v>22</v>
      </c>
      <c r="E144" t="s">
        <v>51</v>
      </c>
      <c r="F144" t="s">
        <v>52</v>
      </c>
      <c r="G144" t="s">
        <v>201</v>
      </c>
      <c r="H144">
        <v>4271.3500000000004</v>
      </c>
      <c r="I144">
        <v>314.75</v>
      </c>
      <c r="J144">
        <v>1</v>
      </c>
      <c r="K144" t="s">
        <v>32</v>
      </c>
      <c r="L144" t="s">
        <v>33</v>
      </c>
    </row>
    <row r="145" spans="1:12" x14ac:dyDescent="0.35">
      <c r="A145" t="s">
        <v>645</v>
      </c>
      <c r="B145" s="4">
        <v>45652</v>
      </c>
      <c r="C145" t="s">
        <v>46</v>
      </c>
      <c r="D145" t="s">
        <v>47</v>
      </c>
      <c r="E145" t="s">
        <v>51</v>
      </c>
      <c r="F145" t="s">
        <v>74</v>
      </c>
      <c r="G145" t="s">
        <v>593</v>
      </c>
      <c r="H145">
        <v>4265.47</v>
      </c>
      <c r="I145">
        <v>778.34</v>
      </c>
      <c r="J145">
        <v>4</v>
      </c>
      <c r="K145" t="s">
        <v>32</v>
      </c>
      <c r="L145" t="s">
        <v>33</v>
      </c>
    </row>
    <row r="146" spans="1:12" x14ac:dyDescent="0.35">
      <c r="A146" t="s">
        <v>339</v>
      </c>
      <c r="B146" s="4">
        <v>45383</v>
      </c>
      <c r="C146" t="s">
        <v>21</v>
      </c>
      <c r="D146" t="s">
        <v>65</v>
      </c>
      <c r="E146" t="s">
        <v>15</v>
      </c>
      <c r="F146" t="s">
        <v>30</v>
      </c>
      <c r="G146" t="s">
        <v>340</v>
      </c>
      <c r="H146">
        <v>4254.8900000000003</v>
      </c>
      <c r="I146">
        <v>495.32</v>
      </c>
      <c r="J146">
        <v>9</v>
      </c>
      <c r="K146" t="s">
        <v>26</v>
      </c>
      <c r="L146" t="s">
        <v>33</v>
      </c>
    </row>
    <row r="147" spans="1:12" x14ac:dyDescent="0.35">
      <c r="A147" t="s">
        <v>711</v>
      </c>
      <c r="B147" s="4">
        <v>45588</v>
      </c>
      <c r="C147" t="s">
        <v>21</v>
      </c>
      <c r="D147" t="s">
        <v>65</v>
      </c>
      <c r="E147" t="s">
        <v>15</v>
      </c>
      <c r="F147" t="s">
        <v>30</v>
      </c>
      <c r="G147" t="s">
        <v>236</v>
      </c>
      <c r="H147">
        <v>4243.3599999999997</v>
      </c>
      <c r="I147">
        <v>734.98</v>
      </c>
      <c r="J147">
        <v>8</v>
      </c>
      <c r="K147" t="s">
        <v>26</v>
      </c>
      <c r="L147" t="s">
        <v>19</v>
      </c>
    </row>
    <row r="148" spans="1:12" x14ac:dyDescent="0.35">
      <c r="A148" t="s">
        <v>1076</v>
      </c>
      <c r="B148" s="4">
        <v>45486</v>
      </c>
      <c r="C148" t="s">
        <v>35</v>
      </c>
      <c r="D148" t="s">
        <v>36</v>
      </c>
      <c r="E148" t="s">
        <v>51</v>
      </c>
      <c r="F148" t="s">
        <v>52</v>
      </c>
      <c r="G148" t="s">
        <v>289</v>
      </c>
      <c r="H148">
        <v>4237.18</v>
      </c>
      <c r="I148">
        <v>257.49</v>
      </c>
      <c r="J148">
        <v>7</v>
      </c>
      <c r="K148" t="s">
        <v>26</v>
      </c>
      <c r="L148" t="s">
        <v>78</v>
      </c>
    </row>
    <row r="149" spans="1:12" x14ac:dyDescent="0.35">
      <c r="A149" t="s">
        <v>972</v>
      </c>
      <c r="B149" s="4">
        <v>45543</v>
      </c>
      <c r="C149" t="s">
        <v>35</v>
      </c>
      <c r="D149" t="s">
        <v>36</v>
      </c>
      <c r="E149" t="s">
        <v>15</v>
      </c>
      <c r="F149" t="s">
        <v>30</v>
      </c>
      <c r="G149" t="s">
        <v>777</v>
      </c>
      <c r="H149">
        <v>4233.1899999999996</v>
      </c>
      <c r="I149">
        <v>654.25</v>
      </c>
      <c r="J149">
        <v>10</v>
      </c>
      <c r="K149" t="s">
        <v>26</v>
      </c>
      <c r="L149" t="s">
        <v>61</v>
      </c>
    </row>
    <row r="150" spans="1:12" x14ac:dyDescent="0.35">
      <c r="A150" t="s">
        <v>881</v>
      </c>
      <c r="B150" s="4">
        <v>45405</v>
      </c>
      <c r="C150" t="s">
        <v>13</v>
      </c>
      <c r="D150" t="s">
        <v>14</v>
      </c>
      <c r="E150" t="s">
        <v>23</v>
      </c>
      <c r="F150" t="s">
        <v>69</v>
      </c>
      <c r="G150" t="s">
        <v>115</v>
      </c>
      <c r="H150">
        <v>4230.8500000000004</v>
      </c>
      <c r="I150">
        <v>1358.18</v>
      </c>
      <c r="J150">
        <v>7</v>
      </c>
      <c r="K150" t="s">
        <v>26</v>
      </c>
      <c r="L150" t="s">
        <v>78</v>
      </c>
    </row>
    <row r="151" spans="1:12" x14ac:dyDescent="0.35">
      <c r="A151" t="s">
        <v>445</v>
      </c>
      <c r="B151" s="4">
        <v>45550</v>
      </c>
      <c r="C151" t="s">
        <v>13</v>
      </c>
      <c r="D151" t="s">
        <v>14</v>
      </c>
      <c r="E151" t="s">
        <v>23</v>
      </c>
      <c r="F151" t="s">
        <v>92</v>
      </c>
      <c r="G151" t="s">
        <v>446</v>
      </c>
      <c r="H151">
        <v>4222.6899999999996</v>
      </c>
      <c r="I151">
        <v>885.25</v>
      </c>
      <c r="J151">
        <v>7</v>
      </c>
      <c r="K151" t="s">
        <v>26</v>
      </c>
      <c r="L151" t="s">
        <v>78</v>
      </c>
    </row>
    <row r="152" spans="1:12" x14ac:dyDescent="0.35">
      <c r="A152" t="s">
        <v>1032</v>
      </c>
      <c r="B152" s="4">
        <v>45409</v>
      </c>
      <c r="C152" t="s">
        <v>46</v>
      </c>
      <c r="D152" t="s">
        <v>47</v>
      </c>
      <c r="E152" t="s">
        <v>23</v>
      </c>
      <c r="F152" t="s">
        <v>92</v>
      </c>
      <c r="G152" t="s">
        <v>262</v>
      </c>
      <c r="H152">
        <v>4219.8999999999996</v>
      </c>
      <c r="I152">
        <v>426</v>
      </c>
      <c r="J152">
        <v>6</v>
      </c>
      <c r="K152" t="s">
        <v>26</v>
      </c>
      <c r="L152" t="s">
        <v>42</v>
      </c>
    </row>
    <row r="153" spans="1:12" x14ac:dyDescent="0.35">
      <c r="A153" t="s">
        <v>709</v>
      </c>
      <c r="B153" s="4">
        <v>45420</v>
      </c>
      <c r="C153" t="s">
        <v>13</v>
      </c>
      <c r="D153" t="s">
        <v>82</v>
      </c>
      <c r="E153" t="s">
        <v>51</v>
      </c>
      <c r="F153" t="s">
        <v>66</v>
      </c>
      <c r="G153" t="s">
        <v>173</v>
      </c>
      <c r="H153">
        <v>4215.5600000000004</v>
      </c>
      <c r="I153">
        <v>558.51</v>
      </c>
      <c r="J153">
        <v>1</v>
      </c>
      <c r="K153" t="s">
        <v>32</v>
      </c>
      <c r="L153" t="s">
        <v>33</v>
      </c>
    </row>
    <row r="154" spans="1:12" x14ac:dyDescent="0.35">
      <c r="A154" t="s">
        <v>34</v>
      </c>
      <c r="B154" s="4">
        <v>45292</v>
      </c>
      <c r="C154" t="s">
        <v>35</v>
      </c>
      <c r="D154" t="s">
        <v>36</v>
      </c>
      <c r="E154" t="s">
        <v>15</v>
      </c>
      <c r="F154" t="s">
        <v>30</v>
      </c>
      <c r="G154" t="s">
        <v>37</v>
      </c>
      <c r="H154">
        <v>4211.2299999999996</v>
      </c>
      <c r="I154">
        <v>1263.27</v>
      </c>
      <c r="J154">
        <v>7</v>
      </c>
      <c r="K154" t="s">
        <v>26</v>
      </c>
      <c r="L154" t="s">
        <v>19</v>
      </c>
    </row>
    <row r="155" spans="1:12" x14ac:dyDescent="0.35">
      <c r="A155" t="s">
        <v>903</v>
      </c>
      <c r="B155" s="4">
        <v>45484</v>
      </c>
      <c r="C155" t="s">
        <v>46</v>
      </c>
      <c r="D155" t="s">
        <v>47</v>
      </c>
      <c r="E155" t="s">
        <v>15</v>
      </c>
      <c r="F155" t="s">
        <v>30</v>
      </c>
      <c r="G155" t="s">
        <v>31</v>
      </c>
      <c r="H155">
        <v>4209.24</v>
      </c>
      <c r="I155">
        <v>1045.32</v>
      </c>
      <c r="J155">
        <v>5</v>
      </c>
      <c r="K155" t="s">
        <v>32</v>
      </c>
      <c r="L155" t="s">
        <v>27</v>
      </c>
    </row>
    <row r="156" spans="1:12" x14ac:dyDescent="0.35">
      <c r="A156" t="s">
        <v>572</v>
      </c>
      <c r="B156" s="4">
        <v>45317</v>
      </c>
      <c r="C156" t="s">
        <v>13</v>
      </c>
      <c r="D156" t="s">
        <v>29</v>
      </c>
      <c r="E156" t="s">
        <v>15</v>
      </c>
      <c r="F156" t="s">
        <v>40</v>
      </c>
      <c r="G156" t="s">
        <v>44</v>
      </c>
      <c r="H156">
        <v>4208.01</v>
      </c>
      <c r="I156">
        <v>1399.86</v>
      </c>
      <c r="J156">
        <v>2</v>
      </c>
      <c r="K156" t="s">
        <v>18</v>
      </c>
      <c r="L156" t="s">
        <v>19</v>
      </c>
    </row>
    <row r="157" spans="1:12" x14ac:dyDescent="0.35">
      <c r="A157" t="s">
        <v>1087</v>
      </c>
      <c r="B157" s="4">
        <v>45479</v>
      </c>
      <c r="C157" t="s">
        <v>35</v>
      </c>
      <c r="D157" t="s">
        <v>50</v>
      </c>
      <c r="E157" t="s">
        <v>15</v>
      </c>
      <c r="F157" t="s">
        <v>16</v>
      </c>
      <c r="G157" t="s">
        <v>156</v>
      </c>
      <c r="H157">
        <v>4189.1000000000004</v>
      </c>
      <c r="I157">
        <v>921.81</v>
      </c>
      <c r="J157">
        <v>3</v>
      </c>
      <c r="K157" t="s">
        <v>26</v>
      </c>
      <c r="L157" t="s">
        <v>78</v>
      </c>
    </row>
    <row r="158" spans="1:12" x14ac:dyDescent="0.35">
      <c r="A158" t="s">
        <v>64</v>
      </c>
      <c r="B158" s="4">
        <v>45524</v>
      </c>
      <c r="C158" t="s">
        <v>21</v>
      </c>
      <c r="D158" t="s">
        <v>65</v>
      </c>
      <c r="E158" t="s">
        <v>51</v>
      </c>
      <c r="F158" t="s">
        <v>66</v>
      </c>
      <c r="G158" t="s">
        <v>67</v>
      </c>
      <c r="H158">
        <v>4184.8999999999996</v>
      </c>
      <c r="I158">
        <v>556.03</v>
      </c>
      <c r="J158">
        <v>2</v>
      </c>
      <c r="K158" t="s">
        <v>26</v>
      </c>
      <c r="L158" t="s">
        <v>33</v>
      </c>
    </row>
    <row r="159" spans="1:12" x14ac:dyDescent="0.35">
      <c r="A159" t="s">
        <v>701</v>
      </c>
      <c r="B159" s="4">
        <v>45503</v>
      </c>
      <c r="C159" t="s">
        <v>13</v>
      </c>
      <c r="D159" t="s">
        <v>82</v>
      </c>
      <c r="E159" t="s">
        <v>15</v>
      </c>
      <c r="F159" t="s">
        <v>16</v>
      </c>
      <c r="G159" t="s">
        <v>179</v>
      </c>
      <c r="H159">
        <v>4183.12</v>
      </c>
      <c r="I159">
        <v>669.41</v>
      </c>
      <c r="J159">
        <v>5</v>
      </c>
      <c r="K159" t="s">
        <v>32</v>
      </c>
      <c r="L159" t="s">
        <v>42</v>
      </c>
    </row>
    <row r="160" spans="1:12" x14ac:dyDescent="0.35">
      <c r="A160" t="s">
        <v>949</v>
      </c>
      <c r="B160" s="4">
        <v>45562</v>
      </c>
      <c r="C160" t="s">
        <v>13</v>
      </c>
      <c r="D160" t="s">
        <v>29</v>
      </c>
      <c r="E160" t="s">
        <v>15</v>
      </c>
      <c r="F160" t="s">
        <v>30</v>
      </c>
      <c r="G160" t="s">
        <v>835</v>
      </c>
      <c r="H160">
        <v>4182.18</v>
      </c>
      <c r="I160">
        <v>1419.43</v>
      </c>
      <c r="J160">
        <v>10</v>
      </c>
      <c r="K160" t="s">
        <v>32</v>
      </c>
      <c r="L160" t="s">
        <v>61</v>
      </c>
    </row>
    <row r="161" spans="1:12" x14ac:dyDescent="0.35">
      <c r="A161" t="s">
        <v>392</v>
      </c>
      <c r="B161" s="4">
        <v>45400</v>
      </c>
      <c r="C161" t="s">
        <v>21</v>
      </c>
      <c r="D161" t="s">
        <v>65</v>
      </c>
      <c r="E161" t="s">
        <v>15</v>
      </c>
      <c r="F161" t="s">
        <v>16</v>
      </c>
      <c r="G161" t="s">
        <v>327</v>
      </c>
      <c r="H161">
        <v>4176.08</v>
      </c>
      <c r="I161">
        <v>481.85</v>
      </c>
      <c r="J161">
        <v>4</v>
      </c>
      <c r="K161" t="s">
        <v>26</v>
      </c>
      <c r="L161" t="s">
        <v>33</v>
      </c>
    </row>
    <row r="162" spans="1:12" x14ac:dyDescent="0.35">
      <c r="A162" t="s">
        <v>779</v>
      </c>
      <c r="B162" s="4">
        <v>45598</v>
      </c>
      <c r="C162" t="s">
        <v>46</v>
      </c>
      <c r="D162" t="s">
        <v>89</v>
      </c>
      <c r="E162" t="s">
        <v>23</v>
      </c>
      <c r="F162" t="s">
        <v>24</v>
      </c>
      <c r="G162" t="s">
        <v>265</v>
      </c>
      <c r="H162">
        <v>4174.6400000000003</v>
      </c>
      <c r="I162">
        <v>1082.47</v>
      </c>
      <c r="J162">
        <v>2</v>
      </c>
      <c r="K162" t="s">
        <v>32</v>
      </c>
      <c r="L162" t="s">
        <v>19</v>
      </c>
    </row>
    <row r="163" spans="1:12" x14ac:dyDescent="0.35">
      <c r="A163" t="s">
        <v>477</v>
      </c>
      <c r="B163" s="4">
        <v>45559</v>
      </c>
      <c r="C163" t="s">
        <v>35</v>
      </c>
      <c r="D163" t="s">
        <v>50</v>
      </c>
      <c r="E163" t="s">
        <v>51</v>
      </c>
      <c r="F163" t="s">
        <v>66</v>
      </c>
      <c r="G163" t="s">
        <v>206</v>
      </c>
      <c r="H163">
        <v>4172.12</v>
      </c>
      <c r="I163">
        <v>224.71</v>
      </c>
      <c r="J163">
        <v>5</v>
      </c>
      <c r="K163" t="s">
        <v>26</v>
      </c>
      <c r="L163" t="s">
        <v>27</v>
      </c>
    </row>
    <row r="164" spans="1:12" x14ac:dyDescent="0.35">
      <c r="A164" t="s">
        <v>908</v>
      </c>
      <c r="B164" s="4">
        <v>45312</v>
      </c>
      <c r="C164" t="s">
        <v>13</v>
      </c>
      <c r="D164" t="s">
        <v>29</v>
      </c>
      <c r="E164" t="s">
        <v>23</v>
      </c>
      <c r="F164" t="s">
        <v>92</v>
      </c>
      <c r="G164" t="s">
        <v>109</v>
      </c>
      <c r="H164">
        <v>4172.1000000000004</v>
      </c>
      <c r="I164">
        <v>1445.51</v>
      </c>
      <c r="J164">
        <v>1</v>
      </c>
      <c r="K164" t="s">
        <v>26</v>
      </c>
      <c r="L164" t="s">
        <v>78</v>
      </c>
    </row>
    <row r="165" spans="1:12" x14ac:dyDescent="0.35">
      <c r="A165" t="s">
        <v>1191</v>
      </c>
      <c r="B165" s="4">
        <v>45640</v>
      </c>
      <c r="C165" t="s">
        <v>35</v>
      </c>
      <c r="D165" t="s">
        <v>50</v>
      </c>
      <c r="E165" t="s">
        <v>23</v>
      </c>
      <c r="F165" t="s">
        <v>69</v>
      </c>
      <c r="G165" t="s">
        <v>519</v>
      </c>
      <c r="H165">
        <v>4169.43</v>
      </c>
      <c r="I165">
        <v>909.06</v>
      </c>
      <c r="J165">
        <v>1</v>
      </c>
      <c r="K165" t="s">
        <v>18</v>
      </c>
      <c r="L165" t="s">
        <v>19</v>
      </c>
    </row>
    <row r="166" spans="1:12" x14ac:dyDescent="0.35">
      <c r="A166" t="s">
        <v>612</v>
      </c>
      <c r="B166" s="4">
        <v>45293</v>
      </c>
      <c r="C166" t="s">
        <v>46</v>
      </c>
      <c r="D166" t="s">
        <v>47</v>
      </c>
      <c r="E166" t="s">
        <v>15</v>
      </c>
      <c r="F166" t="s">
        <v>16</v>
      </c>
      <c r="G166" t="s">
        <v>181</v>
      </c>
      <c r="H166">
        <v>4168.74</v>
      </c>
      <c r="I166">
        <v>538.83000000000004</v>
      </c>
      <c r="J166">
        <v>1</v>
      </c>
      <c r="K166" t="s">
        <v>32</v>
      </c>
      <c r="L166" t="s">
        <v>19</v>
      </c>
    </row>
    <row r="167" spans="1:12" x14ac:dyDescent="0.35">
      <c r="A167" t="s">
        <v>879</v>
      </c>
      <c r="B167" s="4">
        <v>45556</v>
      </c>
      <c r="C167" t="s">
        <v>21</v>
      </c>
      <c r="D167" t="s">
        <v>134</v>
      </c>
      <c r="E167" t="s">
        <v>51</v>
      </c>
      <c r="F167" t="s">
        <v>66</v>
      </c>
      <c r="G167" t="s">
        <v>396</v>
      </c>
      <c r="H167">
        <v>4164</v>
      </c>
      <c r="I167">
        <v>875.78</v>
      </c>
      <c r="J167">
        <v>4</v>
      </c>
      <c r="K167" t="s">
        <v>18</v>
      </c>
      <c r="L167" t="s">
        <v>33</v>
      </c>
    </row>
    <row r="168" spans="1:12" x14ac:dyDescent="0.35">
      <c r="A168" t="s">
        <v>752</v>
      </c>
      <c r="B168" s="4">
        <v>45576</v>
      </c>
      <c r="C168" t="s">
        <v>13</v>
      </c>
      <c r="D168" t="s">
        <v>14</v>
      </c>
      <c r="E168" t="s">
        <v>15</v>
      </c>
      <c r="F168" t="s">
        <v>16</v>
      </c>
      <c r="G168" t="s">
        <v>156</v>
      </c>
      <c r="H168">
        <v>4161.6099999999997</v>
      </c>
      <c r="I168">
        <v>1349.17</v>
      </c>
      <c r="J168">
        <v>6</v>
      </c>
      <c r="K168" t="s">
        <v>18</v>
      </c>
      <c r="L168" t="s">
        <v>54</v>
      </c>
    </row>
    <row r="169" spans="1:12" x14ac:dyDescent="0.35">
      <c r="A169" t="s">
        <v>1128</v>
      </c>
      <c r="B169" s="4">
        <v>45559</v>
      </c>
      <c r="C169" t="s">
        <v>35</v>
      </c>
      <c r="D169" t="s">
        <v>36</v>
      </c>
      <c r="E169" t="s">
        <v>51</v>
      </c>
      <c r="F169" t="s">
        <v>66</v>
      </c>
      <c r="G169" t="s">
        <v>224</v>
      </c>
      <c r="H169">
        <v>4159.8999999999996</v>
      </c>
      <c r="I169">
        <v>330.92</v>
      </c>
      <c r="J169">
        <v>6</v>
      </c>
      <c r="K169" t="s">
        <v>32</v>
      </c>
      <c r="L169" t="s">
        <v>33</v>
      </c>
    </row>
    <row r="170" spans="1:12" x14ac:dyDescent="0.35">
      <c r="A170" t="s">
        <v>1084</v>
      </c>
      <c r="B170" s="4">
        <v>45517</v>
      </c>
      <c r="C170" t="s">
        <v>21</v>
      </c>
      <c r="D170" t="s">
        <v>65</v>
      </c>
      <c r="E170" t="s">
        <v>51</v>
      </c>
      <c r="F170" t="s">
        <v>74</v>
      </c>
      <c r="G170" t="s">
        <v>550</v>
      </c>
      <c r="H170">
        <v>4159.3999999999996</v>
      </c>
      <c r="I170">
        <v>781.36</v>
      </c>
      <c r="J170">
        <v>10</v>
      </c>
      <c r="K170" t="s">
        <v>32</v>
      </c>
      <c r="L170" t="s">
        <v>42</v>
      </c>
    </row>
    <row r="171" spans="1:12" x14ac:dyDescent="0.35">
      <c r="A171" t="s">
        <v>304</v>
      </c>
      <c r="B171" s="4">
        <v>45499</v>
      </c>
      <c r="C171" t="s">
        <v>46</v>
      </c>
      <c r="D171" t="s">
        <v>56</v>
      </c>
      <c r="E171" t="s">
        <v>51</v>
      </c>
      <c r="F171" t="s">
        <v>74</v>
      </c>
      <c r="G171" t="s">
        <v>305</v>
      </c>
      <c r="H171">
        <v>4159.03</v>
      </c>
      <c r="I171">
        <v>602.73</v>
      </c>
      <c r="J171">
        <v>4</v>
      </c>
      <c r="K171" t="s">
        <v>32</v>
      </c>
      <c r="L171" t="s">
        <v>78</v>
      </c>
    </row>
    <row r="172" spans="1:12" x14ac:dyDescent="0.35">
      <c r="A172" t="s">
        <v>182</v>
      </c>
      <c r="B172" s="4">
        <v>45556</v>
      </c>
      <c r="C172" t="s">
        <v>46</v>
      </c>
      <c r="D172" t="s">
        <v>47</v>
      </c>
      <c r="E172" t="s">
        <v>23</v>
      </c>
      <c r="F172" t="s">
        <v>92</v>
      </c>
      <c r="G172" t="s">
        <v>183</v>
      </c>
      <c r="H172">
        <v>4154.28</v>
      </c>
      <c r="I172">
        <v>1429.33</v>
      </c>
      <c r="J172">
        <v>2</v>
      </c>
      <c r="K172" t="s">
        <v>26</v>
      </c>
      <c r="L172" t="s">
        <v>19</v>
      </c>
    </row>
    <row r="173" spans="1:12" x14ac:dyDescent="0.35">
      <c r="A173" t="s">
        <v>447</v>
      </c>
      <c r="B173" s="4">
        <v>45587</v>
      </c>
      <c r="C173" t="s">
        <v>46</v>
      </c>
      <c r="D173" t="s">
        <v>56</v>
      </c>
      <c r="E173" t="s">
        <v>15</v>
      </c>
      <c r="F173" t="s">
        <v>16</v>
      </c>
      <c r="G173" t="s">
        <v>156</v>
      </c>
      <c r="H173">
        <v>4153.84</v>
      </c>
      <c r="I173">
        <v>732</v>
      </c>
      <c r="J173">
        <v>8</v>
      </c>
      <c r="K173" t="s">
        <v>26</v>
      </c>
      <c r="L173" t="s">
        <v>42</v>
      </c>
    </row>
    <row r="174" spans="1:12" x14ac:dyDescent="0.35">
      <c r="A174" t="s">
        <v>342</v>
      </c>
      <c r="B174" s="4">
        <v>45523</v>
      </c>
      <c r="C174" t="s">
        <v>21</v>
      </c>
      <c r="D174" t="s">
        <v>22</v>
      </c>
      <c r="E174" t="s">
        <v>51</v>
      </c>
      <c r="F174" t="s">
        <v>66</v>
      </c>
      <c r="G174" t="s">
        <v>343</v>
      </c>
      <c r="H174">
        <v>4144.2299999999996</v>
      </c>
      <c r="I174">
        <v>1100.6400000000001</v>
      </c>
      <c r="J174">
        <v>8</v>
      </c>
      <c r="K174" t="s">
        <v>26</v>
      </c>
      <c r="L174" t="s">
        <v>54</v>
      </c>
    </row>
    <row r="175" spans="1:12" x14ac:dyDescent="0.35">
      <c r="A175" t="s">
        <v>791</v>
      </c>
      <c r="B175" s="4">
        <v>45318</v>
      </c>
      <c r="C175" t="s">
        <v>21</v>
      </c>
      <c r="D175" t="s">
        <v>134</v>
      </c>
      <c r="E175" t="s">
        <v>23</v>
      </c>
      <c r="F175" t="s">
        <v>92</v>
      </c>
      <c r="G175" t="s">
        <v>262</v>
      </c>
      <c r="H175">
        <v>4134.51</v>
      </c>
      <c r="I175">
        <v>1340.66</v>
      </c>
      <c r="J175">
        <v>5</v>
      </c>
      <c r="K175" t="s">
        <v>26</v>
      </c>
      <c r="L175" t="s">
        <v>27</v>
      </c>
    </row>
    <row r="176" spans="1:12" x14ac:dyDescent="0.35">
      <c r="A176" t="s">
        <v>858</v>
      </c>
      <c r="B176" s="4">
        <v>45574</v>
      </c>
      <c r="C176" t="s">
        <v>35</v>
      </c>
      <c r="D176" t="s">
        <v>36</v>
      </c>
      <c r="E176" t="s">
        <v>15</v>
      </c>
      <c r="F176" t="s">
        <v>40</v>
      </c>
      <c r="G176" t="s">
        <v>690</v>
      </c>
      <c r="H176">
        <v>4129.4799999999996</v>
      </c>
      <c r="I176">
        <v>1329.03</v>
      </c>
      <c r="J176">
        <v>7</v>
      </c>
      <c r="K176" t="s">
        <v>26</v>
      </c>
      <c r="L176" t="s">
        <v>58</v>
      </c>
    </row>
    <row r="177" spans="1:12" x14ac:dyDescent="0.35">
      <c r="A177" t="s">
        <v>1180</v>
      </c>
      <c r="B177" s="4">
        <v>45533</v>
      </c>
      <c r="C177" t="s">
        <v>13</v>
      </c>
      <c r="D177" t="s">
        <v>82</v>
      </c>
      <c r="E177" t="s">
        <v>51</v>
      </c>
      <c r="F177" t="s">
        <v>66</v>
      </c>
      <c r="G177" t="s">
        <v>343</v>
      </c>
      <c r="H177">
        <v>4128.04</v>
      </c>
      <c r="I177">
        <v>872.79</v>
      </c>
      <c r="J177">
        <v>9</v>
      </c>
      <c r="K177" t="s">
        <v>32</v>
      </c>
      <c r="L177" t="s">
        <v>27</v>
      </c>
    </row>
    <row r="178" spans="1:12" x14ac:dyDescent="0.35">
      <c r="A178" t="s">
        <v>800</v>
      </c>
      <c r="B178" s="4">
        <v>45308</v>
      </c>
      <c r="C178" t="s">
        <v>35</v>
      </c>
      <c r="D178" t="s">
        <v>50</v>
      </c>
      <c r="E178" t="s">
        <v>15</v>
      </c>
      <c r="F178" t="s">
        <v>40</v>
      </c>
      <c r="G178" t="s">
        <v>672</v>
      </c>
      <c r="H178">
        <v>4125.7</v>
      </c>
      <c r="I178">
        <v>620.08000000000004</v>
      </c>
      <c r="J178">
        <v>10</v>
      </c>
      <c r="K178" t="s">
        <v>26</v>
      </c>
      <c r="L178" t="s">
        <v>27</v>
      </c>
    </row>
    <row r="179" spans="1:12" x14ac:dyDescent="0.35">
      <c r="A179" t="s">
        <v>939</v>
      </c>
      <c r="B179" s="4">
        <v>45561</v>
      </c>
      <c r="C179" t="s">
        <v>21</v>
      </c>
      <c r="D179" t="s">
        <v>65</v>
      </c>
      <c r="E179" t="s">
        <v>51</v>
      </c>
      <c r="F179" t="s">
        <v>66</v>
      </c>
      <c r="G179" t="s">
        <v>343</v>
      </c>
      <c r="H179">
        <v>4112.3500000000004</v>
      </c>
      <c r="I179">
        <v>812.62</v>
      </c>
      <c r="J179">
        <v>9</v>
      </c>
      <c r="K179" t="s">
        <v>18</v>
      </c>
      <c r="L179" t="s">
        <v>61</v>
      </c>
    </row>
    <row r="180" spans="1:12" x14ac:dyDescent="0.35">
      <c r="A180" t="s">
        <v>184</v>
      </c>
      <c r="B180" s="4">
        <v>45460</v>
      </c>
      <c r="C180" t="s">
        <v>35</v>
      </c>
      <c r="D180" t="s">
        <v>39</v>
      </c>
      <c r="E180" t="s">
        <v>51</v>
      </c>
      <c r="F180" t="s">
        <v>52</v>
      </c>
      <c r="G180" t="s">
        <v>185</v>
      </c>
      <c r="H180">
        <v>4105.88</v>
      </c>
      <c r="I180">
        <v>1100.43</v>
      </c>
      <c r="J180">
        <v>2</v>
      </c>
      <c r="K180" t="s">
        <v>26</v>
      </c>
      <c r="L180" t="s">
        <v>27</v>
      </c>
    </row>
    <row r="181" spans="1:12" x14ac:dyDescent="0.35">
      <c r="A181" t="s">
        <v>301</v>
      </c>
      <c r="B181" s="4">
        <v>45602</v>
      </c>
      <c r="C181" t="s">
        <v>46</v>
      </c>
      <c r="D181" t="s">
        <v>89</v>
      </c>
      <c r="E181" t="s">
        <v>51</v>
      </c>
      <c r="F181" t="s">
        <v>74</v>
      </c>
      <c r="G181" t="s">
        <v>302</v>
      </c>
      <c r="H181">
        <v>4104.29</v>
      </c>
      <c r="I181">
        <v>435.07</v>
      </c>
      <c r="J181">
        <v>2</v>
      </c>
      <c r="K181" t="s">
        <v>26</v>
      </c>
      <c r="L181" t="s">
        <v>54</v>
      </c>
    </row>
    <row r="182" spans="1:12" x14ac:dyDescent="0.35">
      <c r="A182" t="s">
        <v>471</v>
      </c>
      <c r="B182" s="4">
        <v>45498</v>
      </c>
      <c r="C182" t="s">
        <v>35</v>
      </c>
      <c r="D182" t="s">
        <v>50</v>
      </c>
      <c r="E182" t="s">
        <v>15</v>
      </c>
      <c r="F182" t="s">
        <v>40</v>
      </c>
      <c r="G182" t="s">
        <v>472</v>
      </c>
      <c r="H182">
        <v>4102.17</v>
      </c>
      <c r="I182">
        <v>546.87</v>
      </c>
      <c r="J182">
        <v>4</v>
      </c>
      <c r="K182" t="s">
        <v>32</v>
      </c>
      <c r="L182" t="s">
        <v>61</v>
      </c>
    </row>
    <row r="183" spans="1:12" x14ac:dyDescent="0.35">
      <c r="A183" t="s">
        <v>703</v>
      </c>
      <c r="B183" s="4">
        <v>45349</v>
      </c>
      <c r="C183" t="s">
        <v>21</v>
      </c>
      <c r="D183" t="s">
        <v>65</v>
      </c>
      <c r="E183" t="s">
        <v>51</v>
      </c>
      <c r="F183" t="s">
        <v>74</v>
      </c>
      <c r="G183" t="s">
        <v>373</v>
      </c>
      <c r="H183">
        <v>4101.47</v>
      </c>
      <c r="I183">
        <v>330.64</v>
      </c>
      <c r="J183">
        <v>8</v>
      </c>
      <c r="K183" t="s">
        <v>32</v>
      </c>
      <c r="L183" t="s">
        <v>54</v>
      </c>
    </row>
    <row r="184" spans="1:12" x14ac:dyDescent="0.35">
      <c r="A184" t="s">
        <v>419</v>
      </c>
      <c r="B184" s="4">
        <v>45507</v>
      </c>
      <c r="C184" t="s">
        <v>35</v>
      </c>
      <c r="D184" t="s">
        <v>50</v>
      </c>
      <c r="E184" t="s">
        <v>51</v>
      </c>
      <c r="F184" t="s">
        <v>66</v>
      </c>
      <c r="G184" t="s">
        <v>362</v>
      </c>
      <c r="H184">
        <v>4090.73</v>
      </c>
      <c r="I184">
        <v>783.79</v>
      </c>
      <c r="J184">
        <v>1</v>
      </c>
      <c r="K184" t="s">
        <v>26</v>
      </c>
      <c r="L184" t="s">
        <v>19</v>
      </c>
    </row>
    <row r="185" spans="1:12" x14ac:dyDescent="0.35">
      <c r="A185" t="s">
        <v>868</v>
      </c>
      <c r="B185" s="4">
        <v>45491</v>
      </c>
      <c r="C185" t="s">
        <v>35</v>
      </c>
      <c r="D185" t="s">
        <v>50</v>
      </c>
      <c r="E185" t="s">
        <v>23</v>
      </c>
      <c r="F185" t="s">
        <v>92</v>
      </c>
      <c r="G185" t="s">
        <v>129</v>
      </c>
      <c r="H185">
        <v>4085.73</v>
      </c>
      <c r="I185">
        <v>1220.55</v>
      </c>
      <c r="J185">
        <v>7</v>
      </c>
      <c r="K185" t="s">
        <v>26</v>
      </c>
      <c r="L185" t="s">
        <v>78</v>
      </c>
    </row>
    <row r="186" spans="1:12" x14ac:dyDescent="0.35">
      <c r="A186" t="s">
        <v>1068</v>
      </c>
      <c r="B186" s="4">
        <v>45423</v>
      </c>
      <c r="C186" t="s">
        <v>21</v>
      </c>
      <c r="D186" t="s">
        <v>22</v>
      </c>
      <c r="E186" t="s">
        <v>15</v>
      </c>
      <c r="F186" t="s">
        <v>30</v>
      </c>
      <c r="G186" t="s">
        <v>297</v>
      </c>
      <c r="H186">
        <v>4084.21</v>
      </c>
      <c r="I186">
        <v>400.42</v>
      </c>
      <c r="J186">
        <v>10</v>
      </c>
      <c r="K186" t="s">
        <v>26</v>
      </c>
      <c r="L186" t="s">
        <v>58</v>
      </c>
    </row>
    <row r="187" spans="1:12" x14ac:dyDescent="0.35">
      <c r="A187" t="s">
        <v>325</v>
      </c>
      <c r="B187" s="4">
        <v>45430</v>
      </c>
      <c r="C187" t="s">
        <v>46</v>
      </c>
      <c r="D187" t="s">
        <v>89</v>
      </c>
      <c r="E187" t="s">
        <v>15</v>
      </c>
      <c r="F187" t="s">
        <v>40</v>
      </c>
      <c r="G187" t="s">
        <v>127</v>
      </c>
      <c r="H187">
        <v>4083.02</v>
      </c>
      <c r="I187">
        <v>816.72</v>
      </c>
      <c r="J187">
        <v>2</v>
      </c>
      <c r="K187" t="s">
        <v>32</v>
      </c>
      <c r="L187" t="s">
        <v>61</v>
      </c>
    </row>
    <row r="188" spans="1:12" x14ac:dyDescent="0.35">
      <c r="A188" t="s">
        <v>1171</v>
      </c>
      <c r="B188" s="4">
        <v>45488</v>
      </c>
      <c r="C188" t="s">
        <v>46</v>
      </c>
      <c r="D188" t="s">
        <v>89</v>
      </c>
      <c r="E188" t="s">
        <v>51</v>
      </c>
      <c r="F188" t="s">
        <v>74</v>
      </c>
      <c r="G188" t="s">
        <v>302</v>
      </c>
      <c r="H188">
        <v>4081.98</v>
      </c>
      <c r="I188">
        <v>608.25</v>
      </c>
      <c r="J188">
        <v>10</v>
      </c>
      <c r="K188" t="s">
        <v>18</v>
      </c>
      <c r="L188" t="s">
        <v>42</v>
      </c>
    </row>
    <row r="189" spans="1:12" x14ac:dyDescent="0.35">
      <c r="A189" t="s">
        <v>603</v>
      </c>
      <c r="B189" s="4">
        <v>45455</v>
      </c>
      <c r="C189" t="s">
        <v>13</v>
      </c>
      <c r="D189" t="s">
        <v>14</v>
      </c>
      <c r="E189" t="s">
        <v>51</v>
      </c>
      <c r="F189" t="s">
        <v>74</v>
      </c>
      <c r="G189" t="s">
        <v>267</v>
      </c>
      <c r="H189">
        <v>4077.71</v>
      </c>
      <c r="I189">
        <v>1172.55</v>
      </c>
      <c r="J189">
        <v>8</v>
      </c>
      <c r="K189" t="s">
        <v>18</v>
      </c>
      <c r="L189" t="s">
        <v>78</v>
      </c>
    </row>
    <row r="190" spans="1:12" x14ac:dyDescent="0.35">
      <c r="A190" t="s">
        <v>521</v>
      </c>
      <c r="B190" s="4">
        <v>45315</v>
      </c>
      <c r="C190" t="s">
        <v>46</v>
      </c>
      <c r="D190" t="s">
        <v>47</v>
      </c>
      <c r="E190" t="s">
        <v>23</v>
      </c>
      <c r="F190" t="s">
        <v>92</v>
      </c>
      <c r="G190" t="s">
        <v>262</v>
      </c>
      <c r="H190">
        <v>4074.24</v>
      </c>
      <c r="I190">
        <v>1226.57</v>
      </c>
      <c r="J190">
        <v>9</v>
      </c>
      <c r="K190" t="s">
        <v>26</v>
      </c>
      <c r="L190" t="s">
        <v>78</v>
      </c>
    </row>
    <row r="191" spans="1:12" x14ac:dyDescent="0.35">
      <c r="A191" t="s">
        <v>1127</v>
      </c>
      <c r="B191" s="4">
        <v>45339</v>
      </c>
      <c r="C191" t="s">
        <v>35</v>
      </c>
      <c r="D191" t="s">
        <v>39</v>
      </c>
      <c r="E191" t="s">
        <v>15</v>
      </c>
      <c r="F191" t="s">
        <v>40</v>
      </c>
      <c r="G191" t="s">
        <v>163</v>
      </c>
      <c r="H191">
        <v>4071.68</v>
      </c>
      <c r="I191">
        <v>1131.95</v>
      </c>
      <c r="J191">
        <v>7</v>
      </c>
      <c r="K191" t="s">
        <v>18</v>
      </c>
      <c r="L191" t="s">
        <v>33</v>
      </c>
    </row>
    <row r="192" spans="1:12" x14ac:dyDescent="0.35">
      <c r="A192" t="s">
        <v>853</v>
      </c>
      <c r="B192" s="4">
        <v>45432</v>
      </c>
      <c r="C192" t="s">
        <v>13</v>
      </c>
      <c r="D192" t="s">
        <v>14</v>
      </c>
      <c r="E192" t="s">
        <v>15</v>
      </c>
      <c r="F192" t="s">
        <v>40</v>
      </c>
      <c r="G192" t="s">
        <v>127</v>
      </c>
      <c r="H192">
        <v>4068.69</v>
      </c>
      <c r="I192">
        <v>450.3</v>
      </c>
      <c r="J192">
        <v>9</v>
      </c>
      <c r="K192" t="s">
        <v>32</v>
      </c>
      <c r="L192" t="s">
        <v>61</v>
      </c>
    </row>
    <row r="193" spans="1:12" x14ac:dyDescent="0.35">
      <c r="A193" t="s">
        <v>198</v>
      </c>
      <c r="B193" s="4">
        <v>45350</v>
      </c>
      <c r="C193" t="s">
        <v>46</v>
      </c>
      <c r="D193" t="s">
        <v>56</v>
      </c>
      <c r="E193" t="s">
        <v>15</v>
      </c>
      <c r="F193" t="s">
        <v>16</v>
      </c>
      <c r="G193" t="s">
        <v>199</v>
      </c>
      <c r="H193">
        <v>4060.66</v>
      </c>
      <c r="I193">
        <v>1045.31</v>
      </c>
      <c r="J193">
        <v>8</v>
      </c>
      <c r="K193" t="s">
        <v>26</v>
      </c>
      <c r="L193" t="s">
        <v>78</v>
      </c>
    </row>
    <row r="194" spans="1:12" x14ac:dyDescent="0.35">
      <c r="A194" t="s">
        <v>635</v>
      </c>
      <c r="B194" s="4">
        <v>45343</v>
      </c>
      <c r="C194" t="s">
        <v>46</v>
      </c>
      <c r="D194" t="s">
        <v>47</v>
      </c>
      <c r="E194" t="s">
        <v>51</v>
      </c>
      <c r="F194" t="s">
        <v>66</v>
      </c>
      <c r="G194" t="s">
        <v>242</v>
      </c>
      <c r="H194">
        <v>4060.66</v>
      </c>
      <c r="I194">
        <v>1387.41</v>
      </c>
      <c r="J194">
        <v>8</v>
      </c>
      <c r="K194" t="s">
        <v>18</v>
      </c>
      <c r="L194" t="s">
        <v>19</v>
      </c>
    </row>
    <row r="195" spans="1:12" x14ac:dyDescent="0.35">
      <c r="A195" t="s">
        <v>658</v>
      </c>
      <c r="B195" s="4">
        <v>45545</v>
      </c>
      <c r="C195" t="s">
        <v>21</v>
      </c>
      <c r="D195" t="s">
        <v>22</v>
      </c>
      <c r="E195" t="s">
        <v>51</v>
      </c>
      <c r="F195" t="s">
        <v>66</v>
      </c>
      <c r="G195" t="s">
        <v>206</v>
      </c>
      <c r="H195">
        <v>4059.12</v>
      </c>
      <c r="I195">
        <v>914.52</v>
      </c>
      <c r="J195">
        <v>7</v>
      </c>
      <c r="K195" t="s">
        <v>32</v>
      </c>
      <c r="L195" t="s">
        <v>54</v>
      </c>
    </row>
    <row r="196" spans="1:12" x14ac:dyDescent="0.35">
      <c r="A196" t="s">
        <v>1072</v>
      </c>
      <c r="B196" s="4">
        <v>45610</v>
      </c>
      <c r="C196" t="s">
        <v>13</v>
      </c>
      <c r="D196" t="s">
        <v>82</v>
      </c>
      <c r="E196" t="s">
        <v>15</v>
      </c>
      <c r="F196" t="s">
        <v>30</v>
      </c>
      <c r="G196" t="s">
        <v>271</v>
      </c>
      <c r="H196">
        <v>4059.11</v>
      </c>
      <c r="I196">
        <v>730.76</v>
      </c>
      <c r="J196">
        <v>2</v>
      </c>
      <c r="K196" t="s">
        <v>26</v>
      </c>
      <c r="L196" t="s">
        <v>58</v>
      </c>
    </row>
    <row r="197" spans="1:12" x14ac:dyDescent="0.35">
      <c r="A197" t="s">
        <v>71</v>
      </c>
      <c r="B197" s="4">
        <v>45373</v>
      </c>
      <c r="C197" t="s">
        <v>35</v>
      </c>
      <c r="D197" t="s">
        <v>50</v>
      </c>
      <c r="E197" t="s">
        <v>15</v>
      </c>
      <c r="F197" t="s">
        <v>30</v>
      </c>
      <c r="G197" t="s">
        <v>72</v>
      </c>
      <c r="H197">
        <v>4055.49</v>
      </c>
      <c r="I197">
        <v>1137.58</v>
      </c>
      <c r="J197">
        <v>7</v>
      </c>
      <c r="K197" t="s">
        <v>32</v>
      </c>
      <c r="L197" t="s">
        <v>42</v>
      </c>
    </row>
    <row r="198" spans="1:12" x14ac:dyDescent="0.35">
      <c r="A198" t="s">
        <v>1139</v>
      </c>
      <c r="B198" s="4">
        <v>45461</v>
      </c>
      <c r="C198" t="s">
        <v>13</v>
      </c>
      <c r="D198" t="s">
        <v>14</v>
      </c>
      <c r="E198" t="s">
        <v>23</v>
      </c>
      <c r="F198" t="s">
        <v>92</v>
      </c>
      <c r="G198" t="s">
        <v>831</v>
      </c>
      <c r="H198">
        <v>4052</v>
      </c>
      <c r="I198">
        <v>690.05</v>
      </c>
      <c r="J198">
        <v>3</v>
      </c>
      <c r="K198" t="s">
        <v>26</v>
      </c>
      <c r="L198" t="s">
        <v>27</v>
      </c>
    </row>
    <row r="199" spans="1:12" x14ac:dyDescent="0.35">
      <c r="A199" t="s">
        <v>948</v>
      </c>
      <c r="B199" s="4">
        <v>45433</v>
      </c>
      <c r="C199" t="s">
        <v>35</v>
      </c>
      <c r="D199" t="s">
        <v>39</v>
      </c>
      <c r="E199" t="s">
        <v>51</v>
      </c>
      <c r="F199" t="s">
        <v>52</v>
      </c>
      <c r="G199" t="s">
        <v>279</v>
      </c>
      <c r="H199">
        <v>4050.04</v>
      </c>
      <c r="I199">
        <v>758.3</v>
      </c>
      <c r="J199">
        <v>9</v>
      </c>
      <c r="K199" t="s">
        <v>26</v>
      </c>
      <c r="L199" t="s">
        <v>33</v>
      </c>
    </row>
    <row r="200" spans="1:12" x14ac:dyDescent="0.35">
      <c r="A200" t="s">
        <v>213</v>
      </c>
      <c r="B200" s="4">
        <v>45415</v>
      </c>
      <c r="C200" t="s">
        <v>21</v>
      </c>
      <c r="D200" t="s">
        <v>134</v>
      </c>
      <c r="E200" t="s">
        <v>51</v>
      </c>
      <c r="F200" t="s">
        <v>74</v>
      </c>
      <c r="G200" t="s">
        <v>193</v>
      </c>
      <c r="H200">
        <v>4035.56</v>
      </c>
      <c r="I200">
        <v>360.84</v>
      </c>
      <c r="J200">
        <v>9</v>
      </c>
      <c r="K200" t="s">
        <v>26</v>
      </c>
      <c r="L200" t="s">
        <v>54</v>
      </c>
    </row>
    <row r="201" spans="1:12" x14ac:dyDescent="0.35">
      <c r="A201" t="s">
        <v>924</v>
      </c>
      <c r="B201" s="4">
        <v>45654</v>
      </c>
      <c r="C201" t="s">
        <v>21</v>
      </c>
      <c r="D201" t="s">
        <v>65</v>
      </c>
      <c r="E201" t="s">
        <v>15</v>
      </c>
      <c r="F201" t="s">
        <v>30</v>
      </c>
      <c r="G201" t="s">
        <v>322</v>
      </c>
      <c r="H201">
        <v>4033.04</v>
      </c>
      <c r="I201">
        <v>951.49</v>
      </c>
      <c r="J201">
        <v>10</v>
      </c>
      <c r="K201" t="s">
        <v>26</v>
      </c>
      <c r="L201" t="s">
        <v>58</v>
      </c>
    </row>
    <row r="202" spans="1:12" x14ac:dyDescent="0.35">
      <c r="A202" t="s">
        <v>1176</v>
      </c>
      <c r="B202" s="4">
        <v>45306</v>
      </c>
      <c r="C202" t="s">
        <v>46</v>
      </c>
      <c r="D202" t="s">
        <v>56</v>
      </c>
      <c r="E202" t="s">
        <v>15</v>
      </c>
      <c r="F202" t="s">
        <v>16</v>
      </c>
      <c r="G202" t="s">
        <v>695</v>
      </c>
      <c r="H202">
        <v>4028.44</v>
      </c>
      <c r="I202">
        <v>1403.61</v>
      </c>
      <c r="J202">
        <v>7</v>
      </c>
      <c r="K202" t="s">
        <v>18</v>
      </c>
      <c r="L202" t="s">
        <v>27</v>
      </c>
    </row>
    <row r="203" spans="1:12" x14ac:dyDescent="0.35">
      <c r="A203" t="s">
        <v>683</v>
      </c>
      <c r="B203" s="4">
        <v>45547</v>
      </c>
      <c r="C203" t="s">
        <v>46</v>
      </c>
      <c r="D203" t="s">
        <v>56</v>
      </c>
      <c r="E203" t="s">
        <v>51</v>
      </c>
      <c r="F203" t="s">
        <v>74</v>
      </c>
      <c r="G203" t="s">
        <v>256</v>
      </c>
      <c r="H203">
        <v>4027.6</v>
      </c>
      <c r="I203">
        <v>444.53</v>
      </c>
      <c r="J203">
        <v>10</v>
      </c>
      <c r="K203" t="s">
        <v>26</v>
      </c>
      <c r="L203" t="s">
        <v>61</v>
      </c>
    </row>
    <row r="204" spans="1:12" x14ac:dyDescent="0.35">
      <c r="A204" t="s">
        <v>1126</v>
      </c>
      <c r="B204" s="4">
        <v>45451</v>
      </c>
      <c r="C204" t="s">
        <v>21</v>
      </c>
      <c r="D204" t="s">
        <v>134</v>
      </c>
      <c r="E204" t="s">
        <v>51</v>
      </c>
      <c r="F204" t="s">
        <v>52</v>
      </c>
      <c r="G204" t="s">
        <v>289</v>
      </c>
      <c r="H204">
        <v>4027.25</v>
      </c>
      <c r="I204">
        <v>1385.63</v>
      </c>
      <c r="J204">
        <v>9</v>
      </c>
      <c r="K204" t="s">
        <v>18</v>
      </c>
      <c r="L204" t="s">
        <v>54</v>
      </c>
    </row>
    <row r="205" spans="1:12" x14ac:dyDescent="0.35">
      <c r="A205" t="s">
        <v>310</v>
      </c>
      <c r="B205" s="4">
        <v>45374</v>
      </c>
      <c r="C205" t="s">
        <v>13</v>
      </c>
      <c r="D205" t="s">
        <v>14</v>
      </c>
      <c r="E205" t="s">
        <v>15</v>
      </c>
      <c r="F205" t="s">
        <v>16</v>
      </c>
      <c r="G205" t="s">
        <v>17</v>
      </c>
      <c r="H205">
        <v>4025.19</v>
      </c>
      <c r="I205">
        <v>648.29</v>
      </c>
      <c r="J205">
        <v>4</v>
      </c>
      <c r="K205" t="s">
        <v>32</v>
      </c>
      <c r="L205" t="s">
        <v>61</v>
      </c>
    </row>
    <row r="206" spans="1:12" x14ac:dyDescent="0.35">
      <c r="A206" t="s">
        <v>845</v>
      </c>
      <c r="B206" s="4">
        <v>45465</v>
      </c>
      <c r="C206" t="s">
        <v>46</v>
      </c>
      <c r="D206" t="s">
        <v>89</v>
      </c>
      <c r="E206" t="s">
        <v>51</v>
      </c>
      <c r="F206" t="s">
        <v>66</v>
      </c>
      <c r="G206" t="s">
        <v>244</v>
      </c>
      <c r="H206">
        <v>4020.25</v>
      </c>
      <c r="I206">
        <v>529.13</v>
      </c>
      <c r="J206">
        <v>3</v>
      </c>
      <c r="K206" t="s">
        <v>26</v>
      </c>
      <c r="L206" t="s">
        <v>27</v>
      </c>
    </row>
    <row r="207" spans="1:12" x14ac:dyDescent="0.35">
      <c r="A207" t="s">
        <v>973</v>
      </c>
      <c r="B207" s="4">
        <v>45337</v>
      </c>
      <c r="C207" t="s">
        <v>46</v>
      </c>
      <c r="D207" t="s">
        <v>47</v>
      </c>
      <c r="E207" t="s">
        <v>51</v>
      </c>
      <c r="F207" t="s">
        <v>74</v>
      </c>
      <c r="G207" t="s">
        <v>550</v>
      </c>
      <c r="H207">
        <v>4006.18</v>
      </c>
      <c r="I207">
        <v>1370.43</v>
      </c>
      <c r="J207">
        <v>2</v>
      </c>
      <c r="K207" t="s">
        <v>32</v>
      </c>
      <c r="L207" t="s">
        <v>58</v>
      </c>
    </row>
    <row r="208" spans="1:12" x14ac:dyDescent="0.35">
      <c r="A208" t="s">
        <v>1052</v>
      </c>
      <c r="B208" s="4">
        <v>45579</v>
      </c>
      <c r="C208" t="s">
        <v>21</v>
      </c>
      <c r="D208" t="s">
        <v>134</v>
      </c>
      <c r="E208" t="s">
        <v>23</v>
      </c>
      <c r="F208" t="s">
        <v>69</v>
      </c>
      <c r="G208" t="s">
        <v>519</v>
      </c>
      <c r="H208">
        <v>4003.37</v>
      </c>
      <c r="I208">
        <v>566.96</v>
      </c>
      <c r="J208">
        <v>7</v>
      </c>
      <c r="K208" t="s">
        <v>18</v>
      </c>
      <c r="L208" t="s">
        <v>61</v>
      </c>
    </row>
    <row r="209" spans="1:12" x14ac:dyDescent="0.35">
      <c r="A209" t="s">
        <v>912</v>
      </c>
      <c r="B209" s="4">
        <v>45394</v>
      </c>
      <c r="C209" t="s">
        <v>13</v>
      </c>
      <c r="D209" t="s">
        <v>29</v>
      </c>
      <c r="E209" t="s">
        <v>23</v>
      </c>
      <c r="F209" t="s">
        <v>24</v>
      </c>
      <c r="G209" t="s">
        <v>281</v>
      </c>
      <c r="H209">
        <v>3999</v>
      </c>
      <c r="I209">
        <v>1084.43</v>
      </c>
      <c r="J209">
        <v>4</v>
      </c>
      <c r="K209" t="s">
        <v>26</v>
      </c>
      <c r="L209" t="s">
        <v>27</v>
      </c>
    </row>
    <row r="210" spans="1:12" x14ac:dyDescent="0.35">
      <c r="A210" t="s">
        <v>877</v>
      </c>
      <c r="B210" s="4">
        <v>45468</v>
      </c>
      <c r="C210" t="s">
        <v>21</v>
      </c>
      <c r="D210" t="s">
        <v>22</v>
      </c>
      <c r="E210" t="s">
        <v>23</v>
      </c>
      <c r="F210" t="s">
        <v>24</v>
      </c>
      <c r="G210" t="s">
        <v>586</v>
      </c>
      <c r="H210">
        <v>3993.77</v>
      </c>
      <c r="I210">
        <v>1149.6500000000001</v>
      </c>
      <c r="J210">
        <v>4</v>
      </c>
      <c r="K210" t="s">
        <v>18</v>
      </c>
      <c r="L210" t="s">
        <v>54</v>
      </c>
    </row>
    <row r="211" spans="1:12" x14ac:dyDescent="0.35">
      <c r="A211" t="s">
        <v>1096</v>
      </c>
      <c r="B211" s="4">
        <v>45296</v>
      </c>
      <c r="C211" t="s">
        <v>46</v>
      </c>
      <c r="D211" t="s">
        <v>56</v>
      </c>
      <c r="E211" t="s">
        <v>51</v>
      </c>
      <c r="F211" t="s">
        <v>74</v>
      </c>
      <c r="G211" t="s">
        <v>305</v>
      </c>
      <c r="H211">
        <v>3983.63</v>
      </c>
      <c r="I211">
        <v>315.87</v>
      </c>
      <c r="J211">
        <v>8</v>
      </c>
      <c r="K211" t="s">
        <v>32</v>
      </c>
      <c r="L211" t="s">
        <v>61</v>
      </c>
    </row>
    <row r="212" spans="1:12" x14ac:dyDescent="0.35">
      <c r="A212" t="s">
        <v>808</v>
      </c>
      <c r="B212" s="4">
        <v>45297</v>
      </c>
      <c r="C212" t="s">
        <v>13</v>
      </c>
      <c r="D212" t="s">
        <v>14</v>
      </c>
      <c r="E212" t="s">
        <v>15</v>
      </c>
      <c r="F212" t="s">
        <v>30</v>
      </c>
      <c r="G212" t="s">
        <v>529</v>
      </c>
      <c r="H212">
        <v>3971.59</v>
      </c>
      <c r="I212">
        <v>231.79</v>
      </c>
      <c r="J212">
        <v>6</v>
      </c>
      <c r="K212" t="s">
        <v>18</v>
      </c>
      <c r="L212" t="s">
        <v>58</v>
      </c>
    </row>
    <row r="213" spans="1:12" x14ac:dyDescent="0.35">
      <c r="A213" t="s">
        <v>375</v>
      </c>
      <c r="B213" s="4">
        <v>45576</v>
      </c>
      <c r="C213" t="s">
        <v>13</v>
      </c>
      <c r="D213" t="s">
        <v>82</v>
      </c>
      <c r="E213" t="s">
        <v>23</v>
      </c>
      <c r="F213" t="s">
        <v>92</v>
      </c>
      <c r="G213" t="s">
        <v>151</v>
      </c>
      <c r="H213">
        <v>3963.71</v>
      </c>
      <c r="I213">
        <v>450.31</v>
      </c>
      <c r="J213">
        <v>5</v>
      </c>
      <c r="K213" t="s">
        <v>32</v>
      </c>
      <c r="L213" t="s">
        <v>33</v>
      </c>
    </row>
    <row r="214" spans="1:12" x14ac:dyDescent="0.35">
      <c r="A214" t="s">
        <v>145</v>
      </c>
      <c r="B214" s="4">
        <v>45371</v>
      </c>
      <c r="C214" t="s">
        <v>13</v>
      </c>
      <c r="D214" t="s">
        <v>29</v>
      </c>
      <c r="E214" t="s">
        <v>15</v>
      </c>
      <c r="F214" t="s">
        <v>30</v>
      </c>
      <c r="G214" t="s">
        <v>105</v>
      </c>
      <c r="H214">
        <v>3959.14</v>
      </c>
      <c r="I214">
        <v>1139.48</v>
      </c>
      <c r="J214">
        <v>7</v>
      </c>
      <c r="K214" t="s">
        <v>18</v>
      </c>
      <c r="L214" t="s">
        <v>33</v>
      </c>
    </row>
    <row r="215" spans="1:12" x14ac:dyDescent="0.35">
      <c r="A215" t="s">
        <v>592</v>
      </c>
      <c r="B215" s="4">
        <v>45570</v>
      </c>
      <c r="C215" t="s">
        <v>46</v>
      </c>
      <c r="D215" t="s">
        <v>89</v>
      </c>
      <c r="E215" t="s">
        <v>51</v>
      </c>
      <c r="F215" t="s">
        <v>74</v>
      </c>
      <c r="G215" t="s">
        <v>593</v>
      </c>
      <c r="H215">
        <v>3952.65</v>
      </c>
      <c r="I215">
        <v>385.89</v>
      </c>
      <c r="J215">
        <v>3</v>
      </c>
      <c r="K215" t="s">
        <v>18</v>
      </c>
      <c r="L215" t="s">
        <v>54</v>
      </c>
    </row>
    <row r="216" spans="1:12" x14ac:dyDescent="0.35">
      <c r="A216" t="s">
        <v>559</v>
      </c>
      <c r="B216" s="4">
        <v>45565</v>
      </c>
      <c r="C216" t="s">
        <v>46</v>
      </c>
      <c r="D216" t="s">
        <v>56</v>
      </c>
      <c r="E216" t="s">
        <v>15</v>
      </c>
      <c r="F216" t="s">
        <v>30</v>
      </c>
      <c r="G216" t="s">
        <v>297</v>
      </c>
      <c r="H216">
        <v>3947.75</v>
      </c>
      <c r="I216">
        <v>800.62</v>
      </c>
      <c r="J216">
        <v>8</v>
      </c>
      <c r="K216" t="s">
        <v>32</v>
      </c>
      <c r="L216" t="s">
        <v>61</v>
      </c>
    </row>
    <row r="217" spans="1:12" x14ac:dyDescent="0.35">
      <c r="A217" t="s">
        <v>252</v>
      </c>
      <c r="B217" s="4">
        <v>45490</v>
      </c>
      <c r="C217" t="s">
        <v>13</v>
      </c>
      <c r="D217" t="s">
        <v>14</v>
      </c>
      <c r="E217" t="s">
        <v>23</v>
      </c>
      <c r="F217" t="s">
        <v>69</v>
      </c>
      <c r="G217" t="s">
        <v>253</v>
      </c>
      <c r="H217">
        <v>3942.82</v>
      </c>
      <c r="I217">
        <v>229.66</v>
      </c>
      <c r="J217">
        <v>10</v>
      </c>
      <c r="K217" t="s">
        <v>32</v>
      </c>
      <c r="L217" t="s">
        <v>58</v>
      </c>
    </row>
    <row r="218" spans="1:12" x14ac:dyDescent="0.35">
      <c r="A218" t="s">
        <v>882</v>
      </c>
      <c r="B218" s="4">
        <v>45420</v>
      </c>
      <c r="C218" t="s">
        <v>21</v>
      </c>
      <c r="D218" t="s">
        <v>22</v>
      </c>
      <c r="E218" t="s">
        <v>51</v>
      </c>
      <c r="F218" t="s">
        <v>52</v>
      </c>
      <c r="G218" t="s">
        <v>53</v>
      </c>
      <c r="H218">
        <v>3934.45</v>
      </c>
      <c r="I218">
        <v>265.25</v>
      </c>
      <c r="J218">
        <v>4</v>
      </c>
      <c r="K218" t="s">
        <v>26</v>
      </c>
      <c r="L218" t="s">
        <v>61</v>
      </c>
    </row>
    <row r="219" spans="1:12" x14ac:dyDescent="0.35">
      <c r="A219" t="s">
        <v>309</v>
      </c>
      <c r="B219" s="4">
        <v>45545</v>
      </c>
      <c r="C219" t="s">
        <v>21</v>
      </c>
      <c r="D219" t="s">
        <v>22</v>
      </c>
      <c r="E219" t="s">
        <v>15</v>
      </c>
      <c r="F219" t="s">
        <v>30</v>
      </c>
      <c r="G219" t="s">
        <v>57</v>
      </c>
      <c r="H219">
        <v>3934.4</v>
      </c>
      <c r="I219">
        <v>1198.67</v>
      </c>
      <c r="J219">
        <v>6</v>
      </c>
      <c r="K219" t="s">
        <v>18</v>
      </c>
      <c r="L219" t="s">
        <v>61</v>
      </c>
    </row>
    <row r="220" spans="1:12" x14ac:dyDescent="0.35">
      <c r="A220" t="s">
        <v>459</v>
      </c>
      <c r="B220" s="4">
        <v>45326</v>
      </c>
      <c r="C220" t="s">
        <v>35</v>
      </c>
      <c r="D220" t="s">
        <v>50</v>
      </c>
      <c r="E220" t="s">
        <v>51</v>
      </c>
      <c r="F220" t="s">
        <v>52</v>
      </c>
      <c r="G220" t="s">
        <v>140</v>
      </c>
      <c r="H220">
        <v>3928.19</v>
      </c>
      <c r="I220">
        <v>621.75</v>
      </c>
      <c r="J220">
        <v>10</v>
      </c>
      <c r="K220" t="s">
        <v>18</v>
      </c>
      <c r="L220" t="s">
        <v>42</v>
      </c>
    </row>
    <row r="221" spans="1:12" x14ac:dyDescent="0.35">
      <c r="A221" t="s">
        <v>415</v>
      </c>
      <c r="B221" s="4">
        <v>45573</v>
      </c>
      <c r="C221" t="s">
        <v>21</v>
      </c>
      <c r="D221" t="s">
        <v>134</v>
      </c>
      <c r="E221" t="s">
        <v>23</v>
      </c>
      <c r="F221" t="s">
        <v>69</v>
      </c>
      <c r="G221" t="s">
        <v>416</v>
      </c>
      <c r="H221">
        <v>3923.66</v>
      </c>
      <c r="I221">
        <v>682.42</v>
      </c>
      <c r="J221">
        <v>10</v>
      </c>
      <c r="K221" t="s">
        <v>26</v>
      </c>
      <c r="L221" t="s">
        <v>19</v>
      </c>
    </row>
    <row r="222" spans="1:12" x14ac:dyDescent="0.35">
      <c r="A222" t="s">
        <v>1040</v>
      </c>
      <c r="B222" s="4">
        <v>45585</v>
      </c>
      <c r="C222" t="s">
        <v>21</v>
      </c>
      <c r="D222" t="s">
        <v>22</v>
      </c>
      <c r="E222" t="s">
        <v>23</v>
      </c>
      <c r="F222" t="s">
        <v>24</v>
      </c>
      <c r="G222" t="s">
        <v>265</v>
      </c>
      <c r="H222">
        <v>3919.88</v>
      </c>
      <c r="I222">
        <v>1287.21</v>
      </c>
      <c r="J222">
        <v>5</v>
      </c>
      <c r="K222" t="s">
        <v>32</v>
      </c>
      <c r="L222" t="s">
        <v>54</v>
      </c>
    </row>
    <row r="223" spans="1:12" x14ac:dyDescent="0.35">
      <c r="A223" t="s">
        <v>338</v>
      </c>
      <c r="B223" s="4">
        <v>45563</v>
      </c>
      <c r="C223" t="s">
        <v>35</v>
      </c>
      <c r="D223" t="s">
        <v>39</v>
      </c>
      <c r="E223" t="s">
        <v>15</v>
      </c>
      <c r="F223" t="s">
        <v>30</v>
      </c>
      <c r="G223" t="s">
        <v>48</v>
      </c>
      <c r="H223">
        <v>3917.08</v>
      </c>
      <c r="I223">
        <v>687.14</v>
      </c>
      <c r="J223">
        <v>3</v>
      </c>
      <c r="K223" t="s">
        <v>26</v>
      </c>
      <c r="L223" t="s">
        <v>33</v>
      </c>
    </row>
    <row r="224" spans="1:12" x14ac:dyDescent="0.35">
      <c r="A224" t="s">
        <v>514</v>
      </c>
      <c r="B224" s="4">
        <v>45329</v>
      </c>
      <c r="C224" t="s">
        <v>35</v>
      </c>
      <c r="D224" t="s">
        <v>36</v>
      </c>
      <c r="E224" t="s">
        <v>23</v>
      </c>
      <c r="F224" t="s">
        <v>24</v>
      </c>
      <c r="G224" t="s">
        <v>149</v>
      </c>
      <c r="H224">
        <v>3916.5</v>
      </c>
      <c r="I224">
        <v>506.3</v>
      </c>
      <c r="J224">
        <v>7</v>
      </c>
      <c r="K224" t="s">
        <v>32</v>
      </c>
      <c r="L224" t="s">
        <v>33</v>
      </c>
    </row>
    <row r="225" spans="1:12" x14ac:dyDescent="0.35">
      <c r="A225" t="s">
        <v>1010</v>
      </c>
      <c r="B225" s="4">
        <v>45420</v>
      </c>
      <c r="C225" t="s">
        <v>21</v>
      </c>
      <c r="D225" t="s">
        <v>22</v>
      </c>
      <c r="E225" t="s">
        <v>23</v>
      </c>
      <c r="F225" t="s">
        <v>24</v>
      </c>
      <c r="G225" t="s">
        <v>103</v>
      </c>
      <c r="H225">
        <v>3915.88</v>
      </c>
      <c r="I225">
        <v>869.8</v>
      </c>
      <c r="J225">
        <v>10</v>
      </c>
      <c r="K225" t="s">
        <v>32</v>
      </c>
      <c r="L225" t="s">
        <v>19</v>
      </c>
    </row>
    <row r="226" spans="1:12" x14ac:dyDescent="0.35">
      <c r="A226" t="s">
        <v>257</v>
      </c>
      <c r="B226" s="4">
        <v>45621</v>
      </c>
      <c r="C226" t="s">
        <v>35</v>
      </c>
      <c r="D226" t="s">
        <v>36</v>
      </c>
      <c r="E226" t="s">
        <v>15</v>
      </c>
      <c r="F226" t="s">
        <v>40</v>
      </c>
      <c r="G226" t="s">
        <v>258</v>
      </c>
      <c r="H226">
        <v>3915.8</v>
      </c>
      <c r="I226">
        <v>980.23</v>
      </c>
      <c r="J226">
        <v>10</v>
      </c>
      <c r="K226" t="s">
        <v>26</v>
      </c>
      <c r="L226" t="s">
        <v>33</v>
      </c>
    </row>
    <row r="227" spans="1:12" x14ac:dyDescent="0.35">
      <c r="A227" t="s">
        <v>525</v>
      </c>
      <c r="B227" s="4">
        <v>45392</v>
      </c>
      <c r="C227" t="s">
        <v>13</v>
      </c>
      <c r="D227" t="s">
        <v>14</v>
      </c>
      <c r="E227" t="s">
        <v>51</v>
      </c>
      <c r="F227" t="s">
        <v>74</v>
      </c>
      <c r="G227" t="s">
        <v>267</v>
      </c>
      <c r="H227">
        <v>3906.79</v>
      </c>
      <c r="I227">
        <v>978.01</v>
      </c>
      <c r="J227">
        <v>2</v>
      </c>
      <c r="K227" t="s">
        <v>32</v>
      </c>
      <c r="L227" t="s">
        <v>33</v>
      </c>
    </row>
    <row r="228" spans="1:12" x14ac:dyDescent="0.35">
      <c r="A228" t="s">
        <v>1047</v>
      </c>
      <c r="B228" s="4">
        <v>45439</v>
      </c>
      <c r="C228" t="s">
        <v>21</v>
      </c>
      <c r="D228" t="s">
        <v>65</v>
      </c>
      <c r="E228" t="s">
        <v>51</v>
      </c>
      <c r="F228" t="s">
        <v>74</v>
      </c>
      <c r="G228" t="s">
        <v>75</v>
      </c>
      <c r="H228">
        <v>3902.83</v>
      </c>
      <c r="I228">
        <v>964.28</v>
      </c>
      <c r="J228">
        <v>5</v>
      </c>
      <c r="K228" t="s">
        <v>18</v>
      </c>
      <c r="L228" t="s">
        <v>19</v>
      </c>
    </row>
    <row r="229" spans="1:12" x14ac:dyDescent="0.35">
      <c r="A229" t="s">
        <v>490</v>
      </c>
      <c r="B229" s="4">
        <v>45622</v>
      </c>
      <c r="C229" t="s">
        <v>21</v>
      </c>
      <c r="D229" t="s">
        <v>134</v>
      </c>
      <c r="E229" t="s">
        <v>23</v>
      </c>
      <c r="F229" t="s">
        <v>69</v>
      </c>
      <c r="G229" t="s">
        <v>491</v>
      </c>
      <c r="H229">
        <v>3902.57</v>
      </c>
      <c r="I229">
        <v>233.09</v>
      </c>
      <c r="J229">
        <v>6</v>
      </c>
      <c r="K229" t="s">
        <v>18</v>
      </c>
      <c r="L229" t="s">
        <v>61</v>
      </c>
    </row>
    <row r="230" spans="1:12" x14ac:dyDescent="0.35">
      <c r="A230" t="s">
        <v>797</v>
      </c>
      <c r="B230" s="4">
        <v>45623</v>
      </c>
      <c r="C230" t="s">
        <v>46</v>
      </c>
      <c r="D230" t="s">
        <v>47</v>
      </c>
      <c r="E230" t="s">
        <v>23</v>
      </c>
      <c r="F230" t="s">
        <v>24</v>
      </c>
      <c r="G230" t="s">
        <v>212</v>
      </c>
      <c r="H230">
        <v>3901.85</v>
      </c>
      <c r="I230">
        <v>383.95</v>
      </c>
      <c r="J230">
        <v>1</v>
      </c>
      <c r="K230" t="s">
        <v>32</v>
      </c>
      <c r="L230" t="s">
        <v>58</v>
      </c>
    </row>
    <row r="231" spans="1:12" x14ac:dyDescent="0.35">
      <c r="A231" t="s">
        <v>1090</v>
      </c>
      <c r="B231" s="4">
        <v>45607</v>
      </c>
      <c r="C231" t="s">
        <v>35</v>
      </c>
      <c r="D231" t="s">
        <v>39</v>
      </c>
      <c r="E231" t="s">
        <v>23</v>
      </c>
      <c r="F231" t="s">
        <v>69</v>
      </c>
      <c r="G231" t="s">
        <v>491</v>
      </c>
      <c r="H231">
        <v>3898.29</v>
      </c>
      <c r="I231">
        <v>549.16999999999996</v>
      </c>
      <c r="J231">
        <v>9</v>
      </c>
      <c r="K231" t="s">
        <v>26</v>
      </c>
      <c r="L231" t="s">
        <v>78</v>
      </c>
    </row>
    <row r="232" spans="1:12" x14ac:dyDescent="0.35">
      <c r="A232" t="s">
        <v>958</v>
      </c>
      <c r="B232" s="4">
        <v>45406</v>
      </c>
      <c r="C232" t="s">
        <v>13</v>
      </c>
      <c r="D232" t="s">
        <v>82</v>
      </c>
      <c r="E232" t="s">
        <v>15</v>
      </c>
      <c r="F232" t="s">
        <v>30</v>
      </c>
      <c r="G232" t="s">
        <v>529</v>
      </c>
      <c r="H232">
        <v>3898</v>
      </c>
      <c r="I232">
        <v>453.11</v>
      </c>
      <c r="J232">
        <v>8</v>
      </c>
      <c r="K232" t="s">
        <v>18</v>
      </c>
      <c r="L232" t="s">
        <v>54</v>
      </c>
    </row>
    <row r="233" spans="1:12" x14ac:dyDescent="0.35">
      <c r="A233" t="s">
        <v>1053</v>
      </c>
      <c r="B233" s="4">
        <v>45435</v>
      </c>
      <c r="C233" t="s">
        <v>35</v>
      </c>
      <c r="D233" t="s">
        <v>39</v>
      </c>
      <c r="E233" t="s">
        <v>51</v>
      </c>
      <c r="F233" t="s">
        <v>74</v>
      </c>
      <c r="G233" t="s">
        <v>294</v>
      </c>
      <c r="H233">
        <v>3897.15</v>
      </c>
      <c r="I233">
        <v>962.53</v>
      </c>
      <c r="J233">
        <v>7</v>
      </c>
      <c r="K233" t="s">
        <v>26</v>
      </c>
      <c r="L233" t="s">
        <v>58</v>
      </c>
    </row>
    <row r="234" spans="1:12" x14ac:dyDescent="0.35">
      <c r="A234" t="s">
        <v>1042</v>
      </c>
      <c r="B234" s="4">
        <v>45339</v>
      </c>
      <c r="C234" t="s">
        <v>13</v>
      </c>
      <c r="D234" t="s">
        <v>82</v>
      </c>
      <c r="E234" t="s">
        <v>15</v>
      </c>
      <c r="F234" t="s">
        <v>40</v>
      </c>
      <c r="G234" t="s">
        <v>176</v>
      </c>
      <c r="H234">
        <v>3889.9</v>
      </c>
      <c r="I234">
        <v>965.84</v>
      </c>
      <c r="J234">
        <v>3</v>
      </c>
      <c r="K234" t="s">
        <v>26</v>
      </c>
      <c r="L234" t="s">
        <v>78</v>
      </c>
    </row>
    <row r="235" spans="1:12" x14ac:dyDescent="0.35">
      <c r="A235" t="s">
        <v>892</v>
      </c>
      <c r="B235" s="4">
        <v>45332</v>
      </c>
      <c r="C235" t="s">
        <v>21</v>
      </c>
      <c r="D235" t="s">
        <v>65</v>
      </c>
      <c r="E235" t="s">
        <v>51</v>
      </c>
      <c r="F235" t="s">
        <v>52</v>
      </c>
      <c r="G235" t="s">
        <v>140</v>
      </c>
      <c r="H235">
        <v>3880.2</v>
      </c>
      <c r="I235">
        <v>704.84</v>
      </c>
      <c r="J235">
        <v>4</v>
      </c>
      <c r="K235" t="s">
        <v>18</v>
      </c>
      <c r="L235" t="s">
        <v>19</v>
      </c>
    </row>
    <row r="236" spans="1:12" x14ac:dyDescent="0.35">
      <c r="A236" t="s">
        <v>413</v>
      </c>
      <c r="B236" s="4">
        <v>45571</v>
      </c>
      <c r="C236" t="s">
        <v>13</v>
      </c>
      <c r="D236" t="s">
        <v>82</v>
      </c>
      <c r="E236" t="s">
        <v>51</v>
      </c>
      <c r="F236" t="s">
        <v>66</v>
      </c>
      <c r="G236" t="s">
        <v>351</v>
      </c>
      <c r="H236">
        <v>3871.85</v>
      </c>
      <c r="I236">
        <v>992.73</v>
      </c>
      <c r="J236">
        <v>1</v>
      </c>
      <c r="K236" t="s">
        <v>32</v>
      </c>
      <c r="L236" t="s">
        <v>33</v>
      </c>
    </row>
    <row r="237" spans="1:12" x14ac:dyDescent="0.35">
      <c r="A237" t="s">
        <v>1095</v>
      </c>
      <c r="B237" s="4">
        <v>45577</v>
      </c>
      <c r="C237" t="s">
        <v>13</v>
      </c>
      <c r="D237" t="s">
        <v>29</v>
      </c>
      <c r="E237" t="s">
        <v>23</v>
      </c>
      <c r="F237" t="s">
        <v>92</v>
      </c>
      <c r="G237" t="s">
        <v>446</v>
      </c>
      <c r="H237">
        <v>3870.34</v>
      </c>
      <c r="I237">
        <v>1339.73</v>
      </c>
      <c r="J237">
        <v>7</v>
      </c>
      <c r="K237" t="s">
        <v>32</v>
      </c>
      <c r="L237" t="s">
        <v>54</v>
      </c>
    </row>
    <row r="238" spans="1:12" x14ac:dyDescent="0.35">
      <c r="A238" t="s">
        <v>1029</v>
      </c>
      <c r="B238" s="4">
        <v>45604</v>
      </c>
      <c r="C238" t="s">
        <v>21</v>
      </c>
      <c r="D238" t="s">
        <v>134</v>
      </c>
      <c r="E238" t="s">
        <v>15</v>
      </c>
      <c r="F238" t="s">
        <v>30</v>
      </c>
      <c r="G238" t="s">
        <v>105</v>
      </c>
      <c r="H238">
        <v>3862.75</v>
      </c>
      <c r="I238">
        <v>1023.27</v>
      </c>
      <c r="J238">
        <v>6</v>
      </c>
      <c r="K238" t="s">
        <v>32</v>
      </c>
      <c r="L238" t="s">
        <v>27</v>
      </c>
    </row>
    <row r="239" spans="1:12" x14ac:dyDescent="0.35">
      <c r="A239" t="s">
        <v>334</v>
      </c>
      <c r="B239" s="4">
        <v>45631</v>
      </c>
      <c r="C239" t="s">
        <v>46</v>
      </c>
      <c r="D239" t="s">
        <v>56</v>
      </c>
      <c r="E239" t="s">
        <v>15</v>
      </c>
      <c r="F239" t="s">
        <v>30</v>
      </c>
      <c r="G239" t="s">
        <v>335</v>
      </c>
      <c r="H239">
        <v>3858.94</v>
      </c>
      <c r="I239">
        <v>528.77</v>
      </c>
      <c r="J239">
        <v>1</v>
      </c>
      <c r="K239" t="s">
        <v>26</v>
      </c>
      <c r="L239" t="s">
        <v>78</v>
      </c>
    </row>
    <row r="240" spans="1:12" x14ac:dyDescent="0.35">
      <c r="A240" t="s">
        <v>278</v>
      </c>
      <c r="B240" s="4">
        <v>45547</v>
      </c>
      <c r="C240" t="s">
        <v>13</v>
      </c>
      <c r="D240" t="s">
        <v>29</v>
      </c>
      <c r="E240" t="s">
        <v>51</v>
      </c>
      <c r="F240" t="s">
        <v>52</v>
      </c>
      <c r="G240" t="s">
        <v>279</v>
      </c>
      <c r="H240">
        <v>3855.65</v>
      </c>
      <c r="I240">
        <v>445.17</v>
      </c>
      <c r="J240">
        <v>2</v>
      </c>
      <c r="K240" t="s">
        <v>26</v>
      </c>
      <c r="L240" t="s">
        <v>42</v>
      </c>
    </row>
    <row r="241" spans="1:12" x14ac:dyDescent="0.35">
      <c r="A241" t="s">
        <v>564</v>
      </c>
      <c r="B241" s="4">
        <v>45303</v>
      </c>
      <c r="C241" t="s">
        <v>13</v>
      </c>
      <c r="D241" t="s">
        <v>29</v>
      </c>
      <c r="E241" t="s">
        <v>23</v>
      </c>
      <c r="F241" t="s">
        <v>92</v>
      </c>
      <c r="G241" t="s">
        <v>151</v>
      </c>
      <c r="H241">
        <v>3852.24</v>
      </c>
      <c r="I241">
        <v>1272.28</v>
      </c>
      <c r="J241">
        <v>9</v>
      </c>
      <c r="K241" t="s">
        <v>32</v>
      </c>
      <c r="L241" t="s">
        <v>61</v>
      </c>
    </row>
    <row r="242" spans="1:12" x14ac:dyDescent="0.35">
      <c r="A242" t="s">
        <v>479</v>
      </c>
      <c r="B242" s="4">
        <v>45638</v>
      </c>
      <c r="C242" t="s">
        <v>21</v>
      </c>
      <c r="D242" t="s">
        <v>22</v>
      </c>
      <c r="E242" t="s">
        <v>23</v>
      </c>
      <c r="F242" t="s">
        <v>92</v>
      </c>
      <c r="G242" t="s">
        <v>183</v>
      </c>
      <c r="H242">
        <v>3832.19</v>
      </c>
      <c r="I242">
        <v>488.56</v>
      </c>
      <c r="J242">
        <v>7</v>
      </c>
      <c r="K242" t="s">
        <v>26</v>
      </c>
      <c r="L242" t="s">
        <v>27</v>
      </c>
    </row>
    <row r="243" spans="1:12" x14ac:dyDescent="0.35">
      <c r="A243" t="s">
        <v>1212</v>
      </c>
      <c r="B243" s="4">
        <v>45613</v>
      </c>
      <c r="C243" t="s">
        <v>21</v>
      </c>
      <c r="D243" t="s">
        <v>65</v>
      </c>
      <c r="E243" t="s">
        <v>15</v>
      </c>
      <c r="F243" t="s">
        <v>40</v>
      </c>
      <c r="G243" t="s">
        <v>347</v>
      </c>
      <c r="H243">
        <v>3818.06</v>
      </c>
      <c r="I243">
        <v>1175.94</v>
      </c>
      <c r="J243">
        <v>8</v>
      </c>
      <c r="K243" t="s">
        <v>26</v>
      </c>
      <c r="L243" t="s">
        <v>33</v>
      </c>
    </row>
    <row r="244" spans="1:12" x14ac:dyDescent="0.35">
      <c r="A244" t="s">
        <v>819</v>
      </c>
      <c r="B244" s="4">
        <v>45580</v>
      </c>
      <c r="C244" t="s">
        <v>21</v>
      </c>
      <c r="D244" t="s">
        <v>134</v>
      </c>
      <c r="E244" t="s">
        <v>51</v>
      </c>
      <c r="F244" t="s">
        <v>52</v>
      </c>
      <c r="G244" t="s">
        <v>316</v>
      </c>
      <c r="H244">
        <v>3816.89</v>
      </c>
      <c r="I244">
        <v>1275.25</v>
      </c>
      <c r="J244">
        <v>4</v>
      </c>
      <c r="K244" t="s">
        <v>32</v>
      </c>
      <c r="L244" t="s">
        <v>54</v>
      </c>
    </row>
    <row r="245" spans="1:12" x14ac:dyDescent="0.35">
      <c r="A245" t="s">
        <v>451</v>
      </c>
      <c r="B245" s="4">
        <v>45309</v>
      </c>
      <c r="C245" t="s">
        <v>21</v>
      </c>
      <c r="D245" t="s">
        <v>134</v>
      </c>
      <c r="E245" t="s">
        <v>51</v>
      </c>
      <c r="F245" t="s">
        <v>52</v>
      </c>
      <c r="G245" t="s">
        <v>60</v>
      </c>
      <c r="H245">
        <v>3810.69</v>
      </c>
      <c r="I245">
        <v>895.76</v>
      </c>
      <c r="J245">
        <v>10</v>
      </c>
      <c r="K245" t="s">
        <v>26</v>
      </c>
      <c r="L245" t="s">
        <v>42</v>
      </c>
    </row>
    <row r="246" spans="1:12" x14ac:dyDescent="0.35">
      <c r="A246" t="s">
        <v>547</v>
      </c>
      <c r="B246" s="4">
        <v>45474</v>
      </c>
      <c r="C246" t="s">
        <v>21</v>
      </c>
      <c r="D246" t="s">
        <v>65</v>
      </c>
      <c r="E246" t="s">
        <v>51</v>
      </c>
      <c r="F246" t="s">
        <v>74</v>
      </c>
      <c r="G246" t="s">
        <v>324</v>
      </c>
      <c r="H246">
        <v>3810.64</v>
      </c>
      <c r="I246">
        <v>617.99</v>
      </c>
      <c r="J246">
        <v>10</v>
      </c>
      <c r="K246" t="s">
        <v>26</v>
      </c>
      <c r="L246" t="s">
        <v>54</v>
      </c>
    </row>
    <row r="247" spans="1:12" x14ac:dyDescent="0.35">
      <c r="A247" t="s">
        <v>1179</v>
      </c>
      <c r="B247" s="4">
        <v>45298</v>
      </c>
      <c r="C247" t="s">
        <v>46</v>
      </c>
      <c r="D247" t="s">
        <v>89</v>
      </c>
      <c r="E247" t="s">
        <v>23</v>
      </c>
      <c r="F247" t="s">
        <v>69</v>
      </c>
      <c r="G247" t="s">
        <v>355</v>
      </c>
      <c r="H247">
        <v>3797.52</v>
      </c>
      <c r="I247">
        <v>797.61</v>
      </c>
      <c r="J247">
        <v>6</v>
      </c>
      <c r="K247" t="s">
        <v>32</v>
      </c>
      <c r="L247" t="s">
        <v>27</v>
      </c>
    </row>
    <row r="248" spans="1:12" x14ac:dyDescent="0.35">
      <c r="A248" t="s">
        <v>756</v>
      </c>
      <c r="B248" s="4">
        <v>45643</v>
      </c>
      <c r="C248" t="s">
        <v>13</v>
      </c>
      <c r="D248" t="s">
        <v>29</v>
      </c>
      <c r="E248" t="s">
        <v>23</v>
      </c>
      <c r="F248" t="s">
        <v>24</v>
      </c>
      <c r="G248" t="s">
        <v>281</v>
      </c>
      <c r="H248">
        <v>3785.23</v>
      </c>
      <c r="I248">
        <v>1055.27</v>
      </c>
      <c r="J248">
        <v>4</v>
      </c>
      <c r="K248" t="s">
        <v>18</v>
      </c>
      <c r="L248" t="s">
        <v>27</v>
      </c>
    </row>
    <row r="249" spans="1:12" x14ac:dyDescent="0.35">
      <c r="A249" t="s">
        <v>862</v>
      </c>
      <c r="B249" s="4">
        <v>45544</v>
      </c>
      <c r="C249" t="s">
        <v>13</v>
      </c>
      <c r="D249" t="s">
        <v>29</v>
      </c>
      <c r="E249" t="s">
        <v>51</v>
      </c>
      <c r="F249" t="s">
        <v>66</v>
      </c>
      <c r="G249" t="s">
        <v>206</v>
      </c>
      <c r="H249">
        <v>3783.9</v>
      </c>
      <c r="I249">
        <v>875.42</v>
      </c>
      <c r="J249">
        <v>4</v>
      </c>
      <c r="K249" t="s">
        <v>18</v>
      </c>
      <c r="L249" t="s">
        <v>19</v>
      </c>
    </row>
    <row r="250" spans="1:12" x14ac:dyDescent="0.35">
      <c r="A250" t="s">
        <v>816</v>
      </c>
      <c r="B250" s="4">
        <v>45531</v>
      </c>
      <c r="C250" t="s">
        <v>21</v>
      </c>
      <c r="D250" t="s">
        <v>22</v>
      </c>
      <c r="E250" t="s">
        <v>51</v>
      </c>
      <c r="F250" t="s">
        <v>66</v>
      </c>
      <c r="G250" t="s">
        <v>239</v>
      </c>
      <c r="H250">
        <v>3758.75</v>
      </c>
      <c r="I250">
        <v>273.57</v>
      </c>
      <c r="J250">
        <v>3</v>
      </c>
      <c r="K250" t="s">
        <v>32</v>
      </c>
      <c r="L250" t="s">
        <v>19</v>
      </c>
    </row>
    <row r="251" spans="1:12" x14ac:dyDescent="0.35">
      <c r="A251" t="s">
        <v>970</v>
      </c>
      <c r="B251" s="4">
        <v>45400</v>
      </c>
      <c r="C251" t="s">
        <v>46</v>
      </c>
      <c r="D251" t="s">
        <v>56</v>
      </c>
      <c r="E251" t="s">
        <v>23</v>
      </c>
      <c r="F251" t="s">
        <v>69</v>
      </c>
      <c r="G251" t="s">
        <v>349</v>
      </c>
      <c r="H251">
        <v>3757</v>
      </c>
      <c r="I251">
        <v>694.53</v>
      </c>
      <c r="J251">
        <v>8</v>
      </c>
      <c r="K251" t="s">
        <v>32</v>
      </c>
      <c r="L251" t="s">
        <v>27</v>
      </c>
    </row>
    <row r="252" spans="1:12" x14ac:dyDescent="0.35">
      <c r="A252" t="s">
        <v>739</v>
      </c>
      <c r="B252" s="4">
        <v>45335</v>
      </c>
      <c r="C252" t="s">
        <v>21</v>
      </c>
      <c r="D252" t="s">
        <v>22</v>
      </c>
      <c r="E252" t="s">
        <v>23</v>
      </c>
      <c r="F252" t="s">
        <v>24</v>
      </c>
      <c r="G252" t="s">
        <v>318</v>
      </c>
      <c r="H252">
        <v>3740.04</v>
      </c>
      <c r="I252">
        <v>1093.01</v>
      </c>
      <c r="J252">
        <v>9</v>
      </c>
      <c r="K252" t="s">
        <v>26</v>
      </c>
      <c r="L252" t="s">
        <v>19</v>
      </c>
    </row>
    <row r="253" spans="1:12" x14ac:dyDescent="0.35">
      <c r="A253" t="s">
        <v>79</v>
      </c>
      <c r="B253" s="4">
        <v>45445</v>
      </c>
      <c r="C253" t="s">
        <v>46</v>
      </c>
      <c r="D253" t="s">
        <v>56</v>
      </c>
      <c r="E253" t="s">
        <v>51</v>
      </c>
      <c r="F253" t="s">
        <v>52</v>
      </c>
      <c r="G253" t="s">
        <v>80</v>
      </c>
      <c r="H253">
        <v>3731.07</v>
      </c>
      <c r="I253">
        <v>678</v>
      </c>
      <c r="J253">
        <v>10</v>
      </c>
      <c r="K253" t="s">
        <v>32</v>
      </c>
      <c r="L253" t="s">
        <v>61</v>
      </c>
    </row>
    <row r="254" spans="1:12" x14ac:dyDescent="0.35">
      <c r="A254" t="s">
        <v>1229</v>
      </c>
      <c r="B254" s="4">
        <v>45329</v>
      </c>
      <c r="C254" t="s">
        <v>35</v>
      </c>
      <c r="D254" t="s">
        <v>36</v>
      </c>
      <c r="E254" t="s">
        <v>51</v>
      </c>
      <c r="F254" t="s">
        <v>74</v>
      </c>
      <c r="G254" t="s">
        <v>593</v>
      </c>
      <c r="H254">
        <v>3726.92</v>
      </c>
      <c r="I254">
        <v>1039.44</v>
      </c>
      <c r="J254">
        <v>8</v>
      </c>
      <c r="K254" t="s">
        <v>26</v>
      </c>
      <c r="L254" t="s">
        <v>61</v>
      </c>
    </row>
    <row r="255" spans="1:12" x14ac:dyDescent="0.35">
      <c r="A255" t="s">
        <v>450</v>
      </c>
      <c r="B255" s="4">
        <v>45471</v>
      </c>
      <c r="C255" t="s">
        <v>35</v>
      </c>
      <c r="D255" t="s">
        <v>39</v>
      </c>
      <c r="E255" t="s">
        <v>51</v>
      </c>
      <c r="F255" t="s">
        <v>74</v>
      </c>
      <c r="G255" t="s">
        <v>187</v>
      </c>
      <c r="H255">
        <v>3724.99</v>
      </c>
      <c r="I255">
        <v>987.8</v>
      </c>
      <c r="J255">
        <v>8</v>
      </c>
      <c r="K255" t="s">
        <v>18</v>
      </c>
      <c r="L255" t="s">
        <v>78</v>
      </c>
    </row>
    <row r="256" spans="1:12" x14ac:dyDescent="0.35">
      <c r="A256" t="s">
        <v>1002</v>
      </c>
      <c r="B256" s="4">
        <v>45540</v>
      </c>
      <c r="C256" t="s">
        <v>35</v>
      </c>
      <c r="D256" t="s">
        <v>39</v>
      </c>
      <c r="E256" t="s">
        <v>23</v>
      </c>
      <c r="F256" t="s">
        <v>92</v>
      </c>
      <c r="G256" t="s">
        <v>533</v>
      </c>
      <c r="H256">
        <v>3724.66</v>
      </c>
      <c r="I256">
        <v>311.36</v>
      </c>
      <c r="J256">
        <v>1</v>
      </c>
      <c r="K256" t="s">
        <v>26</v>
      </c>
      <c r="L256" t="s">
        <v>19</v>
      </c>
    </row>
    <row r="257" spans="1:12" x14ac:dyDescent="0.35">
      <c r="A257" t="s">
        <v>114</v>
      </c>
      <c r="B257" s="4">
        <v>45598</v>
      </c>
      <c r="C257" t="s">
        <v>13</v>
      </c>
      <c r="D257" t="s">
        <v>29</v>
      </c>
      <c r="E257" t="s">
        <v>23</v>
      </c>
      <c r="F257" t="s">
        <v>69</v>
      </c>
      <c r="G257" t="s">
        <v>115</v>
      </c>
      <c r="H257">
        <v>3722.23</v>
      </c>
      <c r="I257">
        <v>1168.45</v>
      </c>
      <c r="J257">
        <v>10</v>
      </c>
      <c r="K257" t="s">
        <v>26</v>
      </c>
      <c r="L257" t="s">
        <v>19</v>
      </c>
    </row>
    <row r="258" spans="1:12" x14ac:dyDescent="0.35">
      <c r="A258" t="s">
        <v>1004</v>
      </c>
      <c r="B258" s="4">
        <v>45512</v>
      </c>
      <c r="C258" t="s">
        <v>13</v>
      </c>
      <c r="D258" t="s">
        <v>29</v>
      </c>
      <c r="E258" t="s">
        <v>15</v>
      </c>
      <c r="F258" t="s">
        <v>16</v>
      </c>
      <c r="G258" t="s">
        <v>541</v>
      </c>
      <c r="H258">
        <v>3717.12</v>
      </c>
      <c r="I258">
        <v>253.31</v>
      </c>
      <c r="J258">
        <v>4</v>
      </c>
      <c r="K258" t="s">
        <v>18</v>
      </c>
      <c r="L258" t="s">
        <v>33</v>
      </c>
    </row>
    <row r="259" spans="1:12" x14ac:dyDescent="0.35">
      <c r="A259" t="s">
        <v>1217</v>
      </c>
      <c r="B259" s="4">
        <v>45610</v>
      </c>
      <c r="C259" t="s">
        <v>21</v>
      </c>
      <c r="D259" t="s">
        <v>22</v>
      </c>
      <c r="E259" t="s">
        <v>23</v>
      </c>
      <c r="F259" t="s">
        <v>24</v>
      </c>
      <c r="G259" t="s">
        <v>103</v>
      </c>
      <c r="H259">
        <v>3704.64</v>
      </c>
      <c r="I259">
        <v>1077.6300000000001</v>
      </c>
      <c r="J259">
        <v>2</v>
      </c>
      <c r="K259" t="s">
        <v>18</v>
      </c>
      <c r="L259" t="s">
        <v>19</v>
      </c>
    </row>
    <row r="260" spans="1:12" x14ac:dyDescent="0.35">
      <c r="A260" t="s">
        <v>443</v>
      </c>
      <c r="B260" s="4">
        <v>45556</v>
      </c>
      <c r="C260" t="s">
        <v>35</v>
      </c>
      <c r="D260" t="s">
        <v>50</v>
      </c>
      <c r="E260" t="s">
        <v>51</v>
      </c>
      <c r="F260" t="s">
        <v>52</v>
      </c>
      <c r="G260" t="s">
        <v>201</v>
      </c>
      <c r="H260">
        <v>3702.64</v>
      </c>
      <c r="I260">
        <v>615.65</v>
      </c>
      <c r="J260">
        <v>10</v>
      </c>
      <c r="K260" t="s">
        <v>18</v>
      </c>
      <c r="L260" t="s">
        <v>19</v>
      </c>
    </row>
    <row r="261" spans="1:12" x14ac:dyDescent="0.35">
      <c r="A261" t="s">
        <v>417</v>
      </c>
      <c r="B261" s="4">
        <v>45393</v>
      </c>
      <c r="C261" t="s">
        <v>35</v>
      </c>
      <c r="D261" t="s">
        <v>50</v>
      </c>
      <c r="E261" t="s">
        <v>51</v>
      </c>
      <c r="F261" t="s">
        <v>74</v>
      </c>
      <c r="G261" t="s">
        <v>75</v>
      </c>
      <c r="H261">
        <v>3689.63</v>
      </c>
      <c r="I261">
        <v>206.85</v>
      </c>
      <c r="J261">
        <v>8</v>
      </c>
      <c r="K261" t="s">
        <v>18</v>
      </c>
      <c r="L261" t="s">
        <v>61</v>
      </c>
    </row>
    <row r="262" spans="1:12" x14ac:dyDescent="0.35">
      <c r="A262" t="s">
        <v>403</v>
      </c>
      <c r="B262" s="4">
        <v>45433</v>
      </c>
      <c r="C262" t="s">
        <v>13</v>
      </c>
      <c r="D262" t="s">
        <v>14</v>
      </c>
      <c r="E262" t="s">
        <v>23</v>
      </c>
      <c r="F262" t="s">
        <v>24</v>
      </c>
      <c r="G262" t="s">
        <v>404</v>
      </c>
      <c r="H262">
        <v>3689.12</v>
      </c>
      <c r="I262">
        <v>1160.51</v>
      </c>
      <c r="J262">
        <v>8</v>
      </c>
      <c r="K262" t="s">
        <v>18</v>
      </c>
      <c r="L262" t="s">
        <v>42</v>
      </c>
    </row>
    <row r="263" spans="1:12" x14ac:dyDescent="0.35">
      <c r="A263" t="s">
        <v>769</v>
      </c>
      <c r="B263" s="4">
        <v>45602</v>
      </c>
      <c r="C263" t="s">
        <v>13</v>
      </c>
      <c r="D263" t="s">
        <v>14</v>
      </c>
      <c r="E263" t="s">
        <v>15</v>
      </c>
      <c r="F263" t="s">
        <v>40</v>
      </c>
      <c r="G263" t="s">
        <v>144</v>
      </c>
      <c r="H263">
        <v>3687.84</v>
      </c>
      <c r="I263">
        <v>191.43</v>
      </c>
      <c r="J263">
        <v>5</v>
      </c>
      <c r="K263" t="s">
        <v>26</v>
      </c>
      <c r="L263" t="s">
        <v>33</v>
      </c>
    </row>
    <row r="264" spans="1:12" x14ac:dyDescent="0.35">
      <c r="A264" t="s">
        <v>691</v>
      </c>
      <c r="B264" s="4">
        <v>45319</v>
      </c>
      <c r="C264" t="s">
        <v>13</v>
      </c>
      <c r="D264" t="s">
        <v>82</v>
      </c>
      <c r="E264" t="s">
        <v>15</v>
      </c>
      <c r="F264" t="s">
        <v>40</v>
      </c>
      <c r="G264" t="s">
        <v>258</v>
      </c>
      <c r="H264">
        <v>3686.79</v>
      </c>
      <c r="I264">
        <v>561.16</v>
      </c>
      <c r="J264">
        <v>2</v>
      </c>
      <c r="K264" t="s">
        <v>18</v>
      </c>
      <c r="L264" t="s">
        <v>78</v>
      </c>
    </row>
    <row r="265" spans="1:12" x14ac:dyDescent="0.35">
      <c r="A265" t="s">
        <v>657</v>
      </c>
      <c r="B265" s="4">
        <v>45634</v>
      </c>
      <c r="C265" t="s">
        <v>46</v>
      </c>
      <c r="D265" t="s">
        <v>56</v>
      </c>
      <c r="E265" t="s">
        <v>51</v>
      </c>
      <c r="F265" t="s">
        <v>74</v>
      </c>
      <c r="G265" t="s">
        <v>580</v>
      </c>
      <c r="H265">
        <v>3672.76</v>
      </c>
      <c r="I265">
        <v>1026.75</v>
      </c>
      <c r="J265">
        <v>4</v>
      </c>
      <c r="K265" t="s">
        <v>26</v>
      </c>
      <c r="L265" t="s">
        <v>54</v>
      </c>
    </row>
    <row r="266" spans="1:12" x14ac:dyDescent="0.35">
      <c r="A266" t="s">
        <v>896</v>
      </c>
      <c r="B266" s="4">
        <v>45513</v>
      </c>
      <c r="C266" t="s">
        <v>35</v>
      </c>
      <c r="D266" t="s">
        <v>39</v>
      </c>
      <c r="E266" t="s">
        <v>23</v>
      </c>
      <c r="F266" t="s">
        <v>24</v>
      </c>
      <c r="G266" t="s">
        <v>149</v>
      </c>
      <c r="H266">
        <v>3661.1</v>
      </c>
      <c r="I266">
        <v>1218.6400000000001</v>
      </c>
      <c r="J266">
        <v>9</v>
      </c>
      <c r="K266" t="s">
        <v>26</v>
      </c>
      <c r="L266" t="s">
        <v>33</v>
      </c>
    </row>
    <row r="267" spans="1:12" x14ac:dyDescent="0.35">
      <c r="A267" t="s">
        <v>442</v>
      </c>
      <c r="B267" s="4">
        <v>45460</v>
      </c>
      <c r="C267" t="s">
        <v>46</v>
      </c>
      <c r="D267" t="s">
        <v>89</v>
      </c>
      <c r="E267" t="s">
        <v>23</v>
      </c>
      <c r="F267" t="s">
        <v>24</v>
      </c>
      <c r="G267" t="s">
        <v>158</v>
      </c>
      <c r="H267">
        <v>3659.15</v>
      </c>
      <c r="I267">
        <v>229.71</v>
      </c>
      <c r="J267">
        <v>9</v>
      </c>
      <c r="K267" t="s">
        <v>26</v>
      </c>
      <c r="L267" t="s">
        <v>42</v>
      </c>
    </row>
    <row r="268" spans="1:12" x14ac:dyDescent="0.35">
      <c r="A268" t="s">
        <v>979</v>
      </c>
      <c r="B268" s="4">
        <v>45533</v>
      </c>
      <c r="C268" t="s">
        <v>13</v>
      </c>
      <c r="D268" t="s">
        <v>14</v>
      </c>
      <c r="E268" t="s">
        <v>51</v>
      </c>
      <c r="F268" t="s">
        <v>52</v>
      </c>
      <c r="G268" t="s">
        <v>730</v>
      </c>
      <c r="H268">
        <v>3650.17</v>
      </c>
      <c r="I268">
        <v>658.95</v>
      </c>
      <c r="J268">
        <v>6</v>
      </c>
      <c r="K268" t="s">
        <v>32</v>
      </c>
      <c r="L268" t="s">
        <v>54</v>
      </c>
    </row>
    <row r="269" spans="1:12" x14ac:dyDescent="0.35">
      <c r="A269" t="s">
        <v>595</v>
      </c>
      <c r="B269" s="4">
        <v>45539</v>
      </c>
      <c r="C269" t="s">
        <v>21</v>
      </c>
      <c r="D269" t="s">
        <v>65</v>
      </c>
      <c r="E269" t="s">
        <v>23</v>
      </c>
      <c r="F269" t="s">
        <v>92</v>
      </c>
      <c r="G269" t="s">
        <v>100</v>
      </c>
      <c r="H269">
        <v>3643.51</v>
      </c>
      <c r="I269">
        <v>225.55</v>
      </c>
      <c r="J269">
        <v>3</v>
      </c>
      <c r="K269" t="s">
        <v>18</v>
      </c>
      <c r="L269" t="s">
        <v>42</v>
      </c>
    </row>
    <row r="270" spans="1:12" x14ac:dyDescent="0.35">
      <c r="A270" t="s">
        <v>88</v>
      </c>
      <c r="B270" s="4">
        <v>45652</v>
      </c>
      <c r="C270" t="s">
        <v>46</v>
      </c>
      <c r="D270" t="s">
        <v>89</v>
      </c>
      <c r="E270" t="s">
        <v>15</v>
      </c>
      <c r="F270" t="s">
        <v>16</v>
      </c>
      <c r="G270" t="s">
        <v>90</v>
      </c>
      <c r="H270">
        <v>3642.94</v>
      </c>
      <c r="I270">
        <v>1126.82</v>
      </c>
      <c r="J270">
        <v>3</v>
      </c>
      <c r="K270" t="s">
        <v>26</v>
      </c>
      <c r="L270" t="s">
        <v>54</v>
      </c>
    </row>
    <row r="271" spans="1:12" x14ac:dyDescent="0.35">
      <c r="A271" t="s">
        <v>885</v>
      </c>
      <c r="B271" s="4">
        <v>45479</v>
      </c>
      <c r="C271" t="s">
        <v>46</v>
      </c>
      <c r="D271" t="s">
        <v>89</v>
      </c>
      <c r="E271" t="s">
        <v>51</v>
      </c>
      <c r="F271" t="s">
        <v>74</v>
      </c>
      <c r="G271" t="s">
        <v>75</v>
      </c>
      <c r="H271">
        <v>3641.26</v>
      </c>
      <c r="I271">
        <v>514.27</v>
      </c>
      <c r="J271">
        <v>2</v>
      </c>
      <c r="K271" t="s">
        <v>26</v>
      </c>
      <c r="L271" t="s">
        <v>78</v>
      </c>
    </row>
    <row r="272" spans="1:12" x14ac:dyDescent="0.35">
      <c r="A272" t="s">
        <v>232</v>
      </c>
      <c r="B272" s="4">
        <v>45307</v>
      </c>
      <c r="C272" t="s">
        <v>46</v>
      </c>
      <c r="D272" t="s">
        <v>47</v>
      </c>
      <c r="E272" t="s">
        <v>15</v>
      </c>
      <c r="F272" t="s">
        <v>30</v>
      </c>
      <c r="G272" t="s">
        <v>83</v>
      </c>
      <c r="H272">
        <v>3634.64</v>
      </c>
      <c r="I272">
        <v>390.99</v>
      </c>
      <c r="J272">
        <v>10</v>
      </c>
      <c r="K272" t="s">
        <v>32</v>
      </c>
      <c r="L272" t="s">
        <v>33</v>
      </c>
    </row>
    <row r="273" spans="1:12" x14ac:dyDescent="0.35">
      <c r="A273" t="s">
        <v>411</v>
      </c>
      <c r="B273" s="4">
        <v>45326</v>
      </c>
      <c r="C273" t="s">
        <v>46</v>
      </c>
      <c r="D273" t="s">
        <v>56</v>
      </c>
      <c r="E273" t="s">
        <v>23</v>
      </c>
      <c r="F273" t="s">
        <v>92</v>
      </c>
      <c r="G273" t="s">
        <v>412</v>
      </c>
      <c r="H273">
        <v>3632.7</v>
      </c>
      <c r="I273">
        <v>279.58</v>
      </c>
      <c r="J273">
        <v>10</v>
      </c>
      <c r="K273" t="s">
        <v>26</v>
      </c>
      <c r="L273" t="s">
        <v>61</v>
      </c>
    </row>
    <row r="274" spans="1:12" x14ac:dyDescent="0.35">
      <c r="A274" t="s">
        <v>248</v>
      </c>
      <c r="B274" s="4">
        <v>45333</v>
      </c>
      <c r="C274" t="s">
        <v>46</v>
      </c>
      <c r="D274" t="s">
        <v>56</v>
      </c>
      <c r="E274" t="s">
        <v>15</v>
      </c>
      <c r="F274" t="s">
        <v>40</v>
      </c>
      <c r="G274" t="s">
        <v>249</v>
      </c>
      <c r="H274">
        <v>3628.63</v>
      </c>
      <c r="I274">
        <v>244.58</v>
      </c>
      <c r="J274">
        <v>6</v>
      </c>
      <c r="K274" t="s">
        <v>18</v>
      </c>
      <c r="L274" t="s">
        <v>33</v>
      </c>
    </row>
    <row r="275" spans="1:12" x14ac:dyDescent="0.35">
      <c r="A275" t="s">
        <v>166</v>
      </c>
      <c r="B275" s="4">
        <v>45488</v>
      </c>
      <c r="C275" t="s">
        <v>46</v>
      </c>
      <c r="D275" t="s">
        <v>47</v>
      </c>
      <c r="E275" t="s">
        <v>23</v>
      </c>
      <c r="F275" t="s">
        <v>69</v>
      </c>
      <c r="G275" t="s">
        <v>167</v>
      </c>
      <c r="H275">
        <v>3624.1</v>
      </c>
      <c r="I275">
        <v>1176.27</v>
      </c>
      <c r="J275">
        <v>10</v>
      </c>
      <c r="K275" t="s">
        <v>18</v>
      </c>
      <c r="L275" t="s">
        <v>19</v>
      </c>
    </row>
    <row r="276" spans="1:12" x14ac:dyDescent="0.35">
      <c r="A276" t="s">
        <v>681</v>
      </c>
      <c r="B276" s="4">
        <v>45590</v>
      </c>
      <c r="C276" t="s">
        <v>21</v>
      </c>
      <c r="D276" t="s">
        <v>134</v>
      </c>
      <c r="E276" t="s">
        <v>15</v>
      </c>
      <c r="F276" t="s">
        <v>40</v>
      </c>
      <c r="G276" t="s">
        <v>347</v>
      </c>
      <c r="H276">
        <v>3623.13</v>
      </c>
      <c r="I276">
        <v>624.91999999999996</v>
      </c>
      <c r="J276">
        <v>7</v>
      </c>
      <c r="K276" t="s">
        <v>32</v>
      </c>
      <c r="L276" t="s">
        <v>54</v>
      </c>
    </row>
    <row r="277" spans="1:12" x14ac:dyDescent="0.35">
      <c r="A277" t="s">
        <v>247</v>
      </c>
      <c r="B277" s="4">
        <v>45468</v>
      </c>
      <c r="C277" t="s">
        <v>46</v>
      </c>
      <c r="D277" t="s">
        <v>89</v>
      </c>
      <c r="E277" t="s">
        <v>23</v>
      </c>
      <c r="F277" t="s">
        <v>69</v>
      </c>
      <c r="G277" t="s">
        <v>208</v>
      </c>
      <c r="H277">
        <v>3622.91</v>
      </c>
      <c r="I277">
        <v>314.83999999999997</v>
      </c>
      <c r="J277">
        <v>1</v>
      </c>
      <c r="K277" t="s">
        <v>32</v>
      </c>
      <c r="L277" t="s">
        <v>54</v>
      </c>
    </row>
    <row r="278" spans="1:12" x14ac:dyDescent="0.35">
      <c r="A278" t="s">
        <v>150</v>
      </c>
      <c r="B278" s="4">
        <v>45293</v>
      </c>
      <c r="C278" t="s">
        <v>13</v>
      </c>
      <c r="D278" t="s">
        <v>82</v>
      </c>
      <c r="E278" t="s">
        <v>23</v>
      </c>
      <c r="F278" t="s">
        <v>92</v>
      </c>
      <c r="G278" t="s">
        <v>151</v>
      </c>
      <c r="H278">
        <v>3618.67</v>
      </c>
      <c r="I278">
        <v>391.21</v>
      </c>
      <c r="J278">
        <v>4</v>
      </c>
      <c r="K278" t="s">
        <v>26</v>
      </c>
      <c r="L278" t="s">
        <v>27</v>
      </c>
    </row>
    <row r="279" spans="1:12" x14ac:dyDescent="0.35">
      <c r="A279" t="s">
        <v>640</v>
      </c>
      <c r="B279" s="4">
        <v>45413</v>
      </c>
      <c r="C279" t="s">
        <v>21</v>
      </c>
      <c r="D279" t="s">
        <v>22</v>
      </c>
      <c r="E279" t="s">
        <v>23</v>
      </c>
      <c r="F279" t="s">
        <v>24</v>
      </c>
      <c r="G279" t="s">
        <v>87</v>
      </c>
      <c r="H279">
        <v>3605.43</v>
      </c>
      <c r="I279">
        <v>473</v>
      </c>
      <c r="J279">
        <v>5</v>
      </c>
      <c r="K279" t="s">
        <v>32</v>
      </c>
      <c r="L279" t="s">
        <v>33</v>
      </c>
    </row>
    <row r="280" spans="1:12" x14ac:dyDescent="0.35">
      <c r="A280" t="s">
        <v>423</v>
      </c>
      <c r="B280" s="4">
        <v>45542</v>
      </c>
      <c r="C280" t="s">
        <v>46</v>
      </c>
      <c r="D280" t="s">
        <v>47</v>
      </c>
      <c r="E280" t="s">
        <v>23</v>
      </c>
      <c r="F280" t="s">
        <v>24</v>
      </c>
      <c r="G280" t="s">
        <v>103</v>
      </c>
      <c r="H280">
        <v>3602.38</v>
      </c>
      <c r="I280">
        <v>1183.24</v>
      </c>
      <c r="J280">
        <v>4</v>
      </c>
      <c r="K280" t="s">
        <v>32</v>
      </c>
      <c r="L280" t="s">
        <v>54</v>
      </c>
    </row>
    <row r="281" spans="1:12" x14ac:dyDescent="0.35">
      <c r="A281" t="s">
        <v>468</v>
      </c>
      <c r="B281" s="4">
        <v>45525</v>
      </c>
      <c r="C281" t="s">
        <v>21</v>
      </c>
      <c r="D281" t="s">
        <v>22</v>
      </c>
      <c r="E281" t="s">
        <v>15</v>
      </c>
      <c r="F281" t="s">
        <v>40</v>
      </c>
      <c r="G281" t="s">
        <v>144</v>
      </c>
      <c r="H281">
        <v>3592.29</v>
      </c>
      <c r="I281">
        <v>775.87</v>
      </c>
      <c r="J281">
        <v>10</v>
      </c>
      <c r="K281" t="s">
        <v>18</v>
      </c>
      <c r="L281" t="s">
        <v>61</v>
      </c>
    </row>
    <row r="282" spans="1:12" x14ac:dyDescent="0.35">
      <c r="A282" t="s">
        <v>432</v>
      </c>
      <c r="B282" s="4">
        <v>45326</v>
      </c>
      <c r="C282" t="s">
        <v>13</v>
      </c>
      <c r="D282" t="s">
        <v>82</v>
      </c>
      <c r="E282" t="s">
        <v>23</v>
      </c>
      <c r="F282" t="s">
        <v>24</v>
      </c>
      <c r="G282" t="s">
        <v>404</v>
      </c>
      <c r="H282">
        <v>3588</v>
      </c>
      <c r="I282">
        <v>422.5</v>
      </c>
      <c r="J282">
        <v>2</v>
      </c>
      <c r="K282" t="s">
        <v>18</v>
      </c>
      <c r="L282" t="s">
        <v>58</v>
      </c>
    </row>
    <row r="283" spans="1:12" x14ac:dyDescent="0.35">
      <c r="A283" t="s">
        <v>540</v>
      </c>
      <c r="B283" s="4">
        <v>45625</v>
      </c>
      <c r="C283" t="s">
        <v>13</v>
      </c>
      <c r="D283" t="s">
        <v>82</v>
      </c>
      <c r="E283" t="s">
        <v>15</v>
      </c>
      <c r="F283" t="s">
        <v>16</v>
      </c>
      <c r="G283" t="s">
        <v>541</v>
      </c>
      <c r="H283">
        <v>3587.69</v>
      </c>
      <c r="I283">
        <v>293.91000000000003</v>
      </c>
      <c r="J283">
        <v>6</v>
      </c>
      <c r="K283" t="s">
        <v>26</v>
      </c>
      <c r="L283" t="s">
        <v>54</v>
      </c>
    </row>
    <row r="284" spans="1:12" x14ac:dyDescent="0.35">
      <c r="A284" t="s">
        <v>887</v>
      </c>
      <c r="B284" s="4">
        <v>45534</v>
      </c>
      <c r="C284" t="s">
        <v>46</v>
      </c>
      <c r="D284" t="s">
        <v>47</v>
      </c>
      <c r="E284" t="s">
        <v>15</v>
      </c>
      <c r="F284" t="s">
        <v>40</v>
      </c>
      <c r="G284" t="s">
        <v>197</v>
      </c>
      <c r="H284">
        <v>3581.93</v>
      </c>
      <c r="I284">
        <v>242.72</v>
      </c>
      <c r="J284">
        <v>6</v>
      </c>
      <c r="K284" t="s">
        <v>26</v>
      </c>
      <c r="L284" t="s">
        <v>78</v>
      </c>
    </row>
    <row r="285" spans="1:12" x14ac:dyDescent="0.35">
      <c r="A285" t="s">
        <v>1168</v>
      </c>
      <c r="B285" s="4">
        <v>45600</v>
      </c>
      <c r="C285" t="s">
        <v>35</v>
      </c>
      <c r="D285" t="s">
        <v>50</v>
      </c>
      <c r="E285" t="s">
        <v>23</v>
      </c>
      <c r="F285" t="s">
        <v>24</v>
      </c>
      <c r="G285" t="s">
        <v>281</v>
      </c>
      <c r="H285">
        <v>3570.09</v>
      </c>
      <c r="I285">
        <v>506.58</v>
      </c>
      <c r="J285">
        <v>10</v>
      </c>
      <c r="K285" t="s">
        <v>32</v>
      </c>
      <c r="L285" t="s">
        <v>27</v>
      </c>
    </row>
    <row r="286" spans="1:12" x14ac:dyDescent="0.35">
      <c r="A286" t="s">
        <v>235</v>
      </c>
      <c r="B286" s="4">
        <v>45586</v>
      </c>
      <c r="C286" t="s">
        <v>46</v>
      </c>
      <c r="D286" t="s">
        <v>47</v>
      </c>
      <c r="E286" t="s">
        <v>15</v>
      </c>
      <c r="F286" t="s">
        <v>30</v>
      </c>
      <c r="G286" t="s">
        <v>236</v>
      </c>
      <c r="H286">
        <v>3549.55</v>
      </c>
      <c r="I286">
        <v>931.53</v>
      </c>
      <c r="J286">
        <v>6</v>
      </c>
      <c r="K286" t="s">
        <v>26</v>
      </c>
      <c r="L286" t="s">
        <v>61</v>
      </c>
    </row>
    <row r="287" spans="1:12" x14ac:dyDescent="0.35">
      <c r="A287" t="s">
        <v>552</v>
      </c>
      <c r="B287" s="4">
        <v>45629</v>
      </c>
      <c r="C287" t="s">
        <v>21</v>
      </c>
      <c r="D287" t="s">
        <v>134</v>
      </c>
      <c r="E287" t="s">
        <v>51</v>
      </c>
      <c r="F287" t="s">
        <v>66</v>
      </c>
      <c r="G287" t="s">
        <v>239</v>
      </c>
      <c r="H287">
        <v>3546.83</v>
      </c>
      <c r="I287">
        <v>963.76</v>
      </c>
      <c r="J287">
        <v>3</v>
      </c>
      <c r="K287" t="s">
        <v>18</v>
      </c>
      <c r="L287" t="s">
        <v>33</v>
      </c>
    </row>
    <row r="288" spans="1:12" x14ac:dyDescent="0.35">
      <c r="A288" t="s">
        <v>202</v>
      </c>
      <c r="B288" s="4">
        <v>45489</v>
      </c>
      <c r="C288" t="s">
        <v>35</v>
      </c>
      <c r="D288" t="s">
        <v>50</v>
      </c>
      <c r="E288" t="s">
        <v>23</v>
      </c>
      <c r="F288" t="s">
        <v>92</v>
      </c>
      <c r="G288" t="s">
        <v>195</v>
      </c>
      <c r="H288">
        <v>3545.36</v>
      </c>
      <c r="I288">
        <v>587.63</v>
      </c>
      <c r="J288">
        <v>2</v>
      </c>
      <c r="K288" t="s">
        <v>32</v>
      </c>
      <c r="L288" t="s">
        <v>42</v>
      </c>
    </row>
    <row r="289" spans="1:12" x14ac:dyDescent="0.35">
      <c r="A289" t="s">
        <v>539</v>
      </c>
      <c r="B289" s="4">
        <v>45616</v>
      </c>
      <c r="C289" t="s">
        <v>46</v>
      </c>
      <c r="D289" t="s">
        <v>56</v>
      </c>
      <c r="E289" t="s">
        <v>23</v>
      </c>
      <c r="F289" t="s">
        <v>24</v>
      </c>
      <c r="G289" t="s">
        <v>153</v>
      </c>
      <c r="H289">
        <v>3540.09</v>
      </c>
      <c r="I289">
        <v>221.58</v>
      </c>
      <c r="J289">
        <v>8</v>
      </c>
      <c r="K289" t="s">
        <v>26</v>
      </c>
      <c r="L289" t="s">
        <v>61</v>
      </c>
    </row>
    <row r="290" spans="1:12" x14ac:dyDescent="0.35">
      <c r="A290" t="s">
        <v>130</v>
      </c>
      <c r="B290" s="4">
        <v>45472</v>
      </c>
      <c r="C290" t="s">
        <v>46</v>
      </c>
      <c r="D290" t="s">
        <v>89</v>
      </c>
      <c r="E290" t="s">
        <v>23</v>
      </c>
      <c r="F290" t="s">
        <v>92</v>
      </c>
      <c r="G290" t="s">
        <v>129</v>
      </c>
      <c r="H290">
        <v>3533.33</v>
      </c>
      <c r="I290">
        <v>524.61</v>
      </c>
      <c r="J290">
        <v>4</v>
      </c>
      <c r="K290" t="s">
        <v>18</v>
      </c>
      <c r="L290" t="s">
        <v>58</v>
      </c>
    </row>
    <row r="291" spans="1:12" x14ac:dyDescent="0.35">
      <c r="A291" t="s">
        <v>812</v>
      </c>
      <c r="B291" s="4">
        <v>45426</v>
      </c>
      <c r="C291" t="s">
        <v>35</v>
      </c>
      <c r="D291" t="s">
        <v>39</v>
      </c>
      <c r="E291" t="s">
        <v>51</v>
      </c>
      <c r="F291" t="s">
        <v>74</v>
      </c>
      <c r="G291" t="s">
        <v>277</v>
      </c>
      <c r="H291">
        <v>3528.57</v>
      </c>
      <c r="I291">
        <v>295.57</v>
      </c>
      <c r="J291">
        <v>7</v>
      </c>
      <c r="K291" t="s">
        <v>32</v>
      </c>
      <c r="L291" t="s">
        <v>61</v>
      </c>
    </row>
    <row r="292" spans="1:12" x14ac:dyDescent="0.35">
      <c r="A292" t="s">
        <v>782</v>
      </c>
      <c r="B292" s="4">
        <v>45618</v>
      </c>
      <c r="C292" t="s">
        <v>21</v>
      </c>
      <c r="D292" t="s">
        <v>22</v>
      </c>
      <c r="E292" t="s">
        <v>51</v>
      </c>
      <c r="F292" t="s">
        <v>74</v>
      </c>
      <c r="G292" t="s">
        <v>277</v>
      </c>
      <c r="H292">
        <v>3518.27</v>
      </c>
      <c r="I292">
        <v>1048.08</v>
      </c>
      <c r="J292">
        <v>6</v>
      </c>
      <c r="K292" t="s">
        <v>32</v>
      </c>
      <c r="L292" t="s">
        <v>42</v>
      </c>
    </row>
    <row r="293" spans="1:12" x14ac:dyDescent="0.35">
      <c r="A293" t="s">
        <v>1033</v>
      </c>
      <c r="B293" s="4">
        <v>45629</v>
      </c>
      <c r="C293" t="s">
        <v>35</v>
      </c>
      <c r="D293" t="s">
        <v>36</v>
      </c>
      <c r="E293" t="s">
        <v>23</v>
      </c>
      <c r="F293" t="s">
        <v>24</v>
      </c>
      <c r="G293" t="s">
        <v>281</v>
      </c>
      <c r="H293">
        <v>3517.64</v>
      </c>
      <c r="I293">
        <v>606.32000000000005</v>
      </c>
      <c r="J293">
        <v>5</v>
      </c>
      <c r="K293" t="s">
        <v>26</v>
      </c>
      <c r="L293" t="s">
        <v>42</v>
      </c>
    </row>
    <row r="294" spans="1:12" x14ac:dyDescent="0.35">
      <c r="A294" t="s">
        <v>1178</v>
      </c>
      <c r="B294" s="4">
        <v>45378</v>
      </c>
      <c r="C294" t="s">
        <v>13</v>
      </c>
      <c r="D294" t="s">
        <v>14</v>
      </c>
      <c r="E294" t="s">
        <v>51</v>
      </c>
      <c r="F294" t="s">
        <v>74</v>
      </c>
      <c r="G294" t="s">
        <v>256</v>
      </c>
      <c r="H294">
        <v>3513.75</v>
      </c>
      <c r="I294">
        <v>484.97</v>
      </c>
      <c r="J294">
        <v>3</v>
      </c>
      <c r="K294" t="s">
        <v>26</v>
      </c>
      <c r="L294" t="s">
        <v>78</v>
      </c>
    </row>
    <row r="295" spans="1:12" x14ac:dyDescent="0.35">
      <c r="A295" t="s">
        <v>506</v>
      </c>
      <c r="B295" s="4">
        <v>45520</v>
      </c>
      <c r="C295" t="s">
        <v>13</v>
      </c>
      <c r="D295" t="s">
        <v>29</v>
      </c>
      <c r="E295" t="s">
        <v>23</v>
      </c>
      <c r="F295" t="s">
        <v>24</v>
      </c>
      <c r="G295" t="s">
        <v>507</v>
      </c>
      <c r="H295">
        <v>3512.58</v>
      </c>
      <c r="I295">
        <v>392.11</v>
      </c>
      <c r="J295">
        <v>5</v>
      </c>
      <c r="K295" t="s">
        <v>26</v>
      </c>
      <c r="L295" t="s">
        <v>61</v>
      </c>
    </row>
    <row r="296" spans="1:12" x14ac:dyDescent="0.35">
      <c r="A296" t="s">
        <v>268</v>
      </c>
      <c r="B296" s="4">
        <v>45630</v>
      </c>
      <c r="C296" t="s">
        <v>13</v>
      </c>
      <c r="D296" t="s">
        <v>29</v>
      </c>
      <c r="E296" t="s">
        <v>15</v>
      </c>
      <c r="F296" t="s">
        <v>16</v>
      </c>
      <c r="G296" t="s">
        <v>269</v>
      </c>
      <c r="H296">
        <v>3490.26</v>
      </c>
      <c r="I296">
        <v>1076.1300000000001</v>
      </c>
      <c r="J296">
        <v>4</v>
      </c>
      <c r="K296" t="s">
        <v>32</v>
      </c>
      <c r="L296" t="s">
        <v>27</v>
      </c>
    </row>
    <row r="297" spans="1:12" x14ac:dyDescent="0.35">
      <c r="A297" t="s">
        <v>1194</v>
      </c>
      <c r="B297" s="4">
        <v>45638</v>
      </c>
      <c r="C297" t="s">
        <v>35</v>
      </c>
      <c r="D297" t="s">
        <v>36</v>
      </c>
      <c r="E297" t="s">
        <v>51</v>
      </c>
      <c r="F297" t="s">
        <v>66</v>
      </c>
      <c r="G297" t="s">
        <v>826</v>
      </c>
      <c r="H297">
        <v>3483.04</v>
      </c>
      <c r="I297">
        <v>897.71</v>
      </c>
      <c r="J297">
        <v>8</v>
      </c>
      <c r="K297" t="s">
        <v>26</v>
      </c>
      <c r="L297" t="s">
        <v>27</v>
      </c>
    </row>
    <row r="298" spans="1:12" x14ac:dyDescent="0.35">
      <c r="A298" t="s">
        <v>852</v>
      </c>
      <c r="B298" s="4">
        <v>45564</v>
      </c>
      <c r="C298" t="s">
        <v>21</v>
      </c>
      <c r="D298" t="s">
        <v>22</v>
      </c>
      <c r="E298" t="s">
        <v>51</v>
      </c>
      <c r="F298" t="s">
        <v>66</v>
      </c>
      <c r="G298" t="s">
        <v>680</v>
      </c>
      <c r="H298">
        <v>3481.07</v>
      </c>
      <c r="I298">
        <v>602.28</v>
      </c>
      <c r="J298">
        <v>1</v>
      </c>
      <c r="K298" t="s">
        <v>32</v>
      </c>
      <c r="L298" t="s">
        <v>61</v>
      </c>
    </row>
    <row r="299" spans="1:12" x14ac:dyDescent="0.35">
      <c r="A299" t="s">
        <v>1170</v>
      </c>
      <c r="B299" s="4">
        <v>45586</v>
      </c>
      <c r="C299" t="s">
        <v>21</v>
      </c>
      <c r="D299" t="s">
        <v>134</v>
      </c>
      <c r="E299" t="s">
        <v>15</v>
      </c>
      <c r="F299" t="s">
        <v>16</v>
      </c>
      <c r="G299" t="s">
        <v>136</v>
      </c>
      <c r="H299">
        <v>3480.88</v>
      </c>
      <c r="I299">
        <v>693.7</v>
      </c>
      <c r="J299">
        <v>9</v>
      </c>
      <c r="K299" t="s">
        <v>18</v>
      </c>
      <c r="L299" t="s">
        <v>58</v>
      </c>
    </row>
    <row r="300" spans="1:12" x14ac:dyDescent="0.35">
      <c r="A300" t="s">
        <v>696</v>
      </c>
      <c r="B300" s="4">
        <v>45383</v>
      </c>
      <c r="C300" t="s">
        <v>35</v>
      </c>
      <c r="D300" t="s">
        <v>36</v>
      </c>
      <c r="E300" t="s">
        <v>23</v>
      </c>
      <c r="F300" t="s">
        <v>24</v>
      </c>
      <c r="G300" t="s">
        <v>158</v>
      </c>
      <c r="H300">
        <v>3476.2</v>
      </c>
      <c r="I300">
        <v>448.8</v>
      </c>
      <c r="J300">
        <v>4</v>
      </c>
      <c r="K300" t="s">
        <v>18</v>
      </c>
      <c r="L300" t="s">
        <v>78</v>
      </c>
    </row>
    <row r="301" spans="1:12" x14ac:dyDescent="0.35">
      <c r="A301" t="s">
        <v>1146</v>
      </c>
      <c r="B301" s="4">
        <v>45538</v>
      </c>
      <c r="C301" t="s">
        <v>46</v>
      </c>
      <c r="D301" t="s">
        <v>89</v>
      </c>
      <c r="E301" t="s">
        <v>51</v>
      </c>
      <c r="F301" t="s">
        <v>66</v>
      </c>
      <c r="G301" t="s">
        <v>239</v>
      </c>
      <c r="H301">
        <v>3475.58</v>
      </c>
      <c r="I301">
        <v>535.79999999999995</v>
      </c>
      <c r="J301">
        <v>9</v>
      </c>
      <c r="K301" t="s">
        <v>32</v>
      </c>
      <c r="L301" t="s">
        <v>78</v>
      </c>
    </row>
    <row r="302" spans="1:12" x14ac:dyDescent="0.35">
      <c r="A302" t="s">
        <v>768</v>
      </c>
      <c r="B302" s="4">
        <v>45553</v>
      </c>
      <c r="C302" t="s">
        <v>13</v>
      </c>
      <c r="D302" t="s">
        <v>29</v>
      </c>
      <c r="E302" t="s">
        <v>51</v>
      </c>
      <c r="F302" t="s">
        <v>52</v>
      </c>
      <c r="G302" t="s">
        <v>185</v>
      </c>
      <c r="H302">
        <v>3461.41</v>
      </c>
      <c r="I302">
        <v>688.87</v>
      </c>
      <c r="J302">
        <v>6</v>
      </c>
      <c r="K302" t="s">
        <v>32</v>
      </c>
      <c r="L302" t="s">
        <v>33</v>
      </c>
    </row>
    <row r="303" spans="1:12" x14ac:dyDescent="0.35">
      <c r="A303" t="s">
        <v>843</v>
      </c>
      <c r="B303" s="4">
        <v>45301</v>
      </c>
      <c r="C303" t="s">
        <v>21</v>
      </c>
      <c r="D303" t="s">
        <v>22</v>
      </c>
      <c r="E303" t="s">
        <v>15</v>
      </c>
      <c r="F303" t="s">
        <v>16</v>
      </c>
      <c r="G303" t="s">
        <v>204</v>
      </c>
      <c r="H303">
        <v>3460.54</v>
      </c>
      <c r="I303">
        <v>531.71</v>
      </c>
      <c r="J303">
        <v>3</v>
      </c>
      <c r="K303" t="s">
        <v>26</v>
      </c>
      <c r="L303" t="s">
        <v>78</v>
      </c>
    </row>
    <row r="304" spans="1:12" x14ac:dyDescent="0.35">
      <c r="A304" t="s">
        <v>907</v>
      </c>
      <c r="B304" s="4">
        <v>45421</v>
      </c>
      <c r="C304" t="s">
        <v>46</v>
      </c>
      <c r="D304" t="s">
        <v>47</v>
      </c>
      <c r="E304" t="s">
        <v>51</v>
      </c>
      <c r="F304" t="s">
        <v>52</v>
      </c>
      <c r="G304" t="s">
        <v>201</v>
      </c>
      <c r="H304">
        <v>3457.07</v>
      </c>
      <c r="I304">
        <v>695.13</v>
      </c>
      <c r="J304">
        <v>6</v>
      </c>
      <c r="K304" t="s">
        <v>26</v>
      </c>
      <c r="L304" t="s">
        <v>78</v>
      </c>
    </row>
    <row r="305" spans="1:12" x14ac:dyDescent="0.35">
      <c r="A305" t="s">
        <v>806</v>
      </c>
      <c r="B305" s="4">
        <v>45325</v>
      </c>
      <c r="C305" t="s">
        <v>46</v>
      </c>
      <c r="D305" t="s">
        <v>47</v>
      </c>
      <c r="E305" t="s">
        <v>15</v>
      </c>
      <c r="F305" t="s">
        <v>40</v>
      </c>
      <c r="G305" t="s">
        <v>399</v>
      </c>
      <c r="H305">
        <v>3456.39</v>
      </c>
      <c r="I305">
        <v>498.72</v>
      </c>
      <c r="J305">
        <v>9</v>
      </c>
      <c r="K305" t="s">
        <v>18</v>
      </c>
      <c r="L305" t="s">
        <v>58</v>
      </c>
    </row>
    <row r="306" spans="1:12" x14ac:dyDescent="0.35">
      <c r="A306" t="s">
        <v>1174</v>
      </c>
      <c r="B306" s="4">
        <v>45528</v>
      </c>
      <c r="C306" t="s">
        <v>13</v>
      </c>
      <c r="D306" t="s">
        <v>29</v>
      </c>
      <c r="E306" t="s">
        <v>51</v>
      </c>
      <c r="F306" t="s">
        <v>74</v>
      </c>
      <c r="G306" t="s">
        <v>373</v>
      </c>
      <c r="H306">
        <v>3454.94</v>
      </c>
      <c r="I306">
        <v>537.52</v>
      </c>
      <c r="J306">
        <v>1</v>
      </c>
      <c r="K306" t="s">
        <v>32</v>
      </c>
      <c r="L306" t="s">
        <v>42</v>
      </c>
    </row>
    <row r="307" spans="1:12" x14ac:dyDescent="0.35">
      <c r="A307" t="s">
        <v>81</v>
      </c>
      <c r="B307" s="4">
        <v>45300</v>
      </c>
      <c r="C307" t="s">
        <v>13</v>
      </c>
      <c r="D307" t="s">
        <v>82</v>
      </c>
      <c r="E307" t="s">
        <v>15</v>
      </c>
      <c r="F307" t="s">
        <v>30</v>
      </c>
      <c r="G307" t="s">
        <v>83</v>
      </c>
      <c r="H307">
        <v>3442.08</v>
      </c>
      <c r="I307">
        <v>199.29</v>
      </c>
      <c r="J307">
        <v>1</v>
      </c>
      <c r="K307" t="s">
        <v>26</v>
      </c>
      <c r="L307" t="s">
        <v>33</v>
      </c>
    </row>
    <row r="308" spans="1:12" x14ac:dyDescent="0.35">
      <c r="A308" t="s">
        <v>454</v>
      </c>
      <c r="B308" s="4">
        <v>45377</v>
      </c>
      <c r="C308" t="s">
        <v>35</v>
      </c>
      <c r="D308" t="s">
        <v>50</v>
      </c>
      <c r="E308" t="s">
        <v>51</v>
      </c>
      <c r="F308" t="s">
        <v>52</v>
      </c>
      <c r="G308" t="s">
        <v>221</v>
      </c>
      <c r="H308">
        <v>3440.8</v>
      </c>
      <c r="I308">
        <v>295.2</v>
      </c>
      <c r="J308">
        <v>10</v>
      </c>
      <c r="K308" t="s">
        <v>18</v>
      </c>
      <c r="L308" t="s">
        <v>78</v>
      </c>
    </row>
    <row r="309" spans="1:12" x14ac:dyDescent="0.35">
      <c r="A309" t="s">
        <v>884</v>
      </c>
      <c r="B309" s="4">
        <v>45388</v>
      </c>
      <c r="C309" t="s">
        <v>35</v>
      </c>
      <c r="D309" t="s">
        <v>50</v>
      </c>
      <c r="E309" t="s">
        <v>51</v>
      </c>
      <c r="F309" t="s">
        <v>52</v>
      </c>
      <c r="G309" t="s">
        <v>221</v>
      </c>
      <c r="H309">
        <v>3436.03</v>
      </c>
      <c r="I309">
        <v>1038.79</v>
      </c>
      <c r="J309">
        <v>7</v>
      </c>
      <c r="K309" t="s">
        <v>26</v>
      </c>
      <c r="L309" t="s">
        <v>58</v>
      </c>
    </row>
    <row r="310" spans="1:12" x14ac:dyDescent="0.35">
      <c r="A310" t="s">
        <v>675</v>
      </c>
      <c r="B310" s="4">
        <v>45477</v>
      </c>
      <c r="C310" t="s">
        <v>35</v>
      </c>
      <c r="D310" t="s">
        <v>39</v>
      </c>
      <c r="E310" t="s">
        <v>23</v>
      </c>
      <c r="F310" t="s">
        <v>24</v>
      </c>
      <c r="G310" t="s">
        <v>507</v>
      </c>
      <c r="H310">
        <v>3435.83</v>
      </c>
      <c r="I310">
        <v>902.31</v>
      </c>
      <c r="J310">
        <v>1</v>
      </c>
      <c r="K310" t="s">
        <v>18</v>
      </c>
      <c r="L310" t="s">
        <v>33</v>
      </c>
    </row>
    <row r="311" spans="1:12" x14ac:dyDescent="0.35">
      <c r="A311" t="s">
        <v>986</v>
      </c>
      <c r="B311" s="4">
        <v>45582</v>
      </c>
      <c r="C311" t="s">
        <v>46</v>
      </c>
      <c r="D311" t="s">
        <v>89</v>
      </c>
      <c r="E311" t="s">
        <v>15</v>
      </c>
      <c r="F311" t="s">
        <v>16</v>
      </c>
      <c r="G311" t="s">
        <v>181</v>
      </c>
      <c r="H311">
        <v>3435.42</v>
      </c>
      <c r="I311">
        <v>736.61</v>
      </c>
      <c r="J311">
        <v>8</v>
      </c>
      <c r="K311" t="s">
        <v>26</v>
      </c>
      <c r="L311" t="s">
        <v>19</v>
      </c>
    </row>
    <row r="312" spans="1:12" x14ac:dyDescent="0.35">
      <c r="A312" t="s">
        <v>1059</v>
      </c>
      <c r="B312" s="4">
        <v>45510</v>
      </c>
      <c r="C312" t="s">
        <v>35</v>
      </c>
      <c r="D312" t="s">
        <v>39</v>
      </c>
      <c r="E312" t="s">
        <v>23</v>
      </c>
      <c r="F312" t="s">
        <v>24</v>
      </c>
      <c r="G312" t="s">
        <v>153</v>
      </c>
      <c r="H312">
        <v>3433.33</v>
      </c>
      <c r="I312">
        <v>198.36</v>
      </c>
      <c r="J312">
        <v>6</v>
      </c>
      <c r="K312" t="s">
        <v>18</v>
      </c>
      <c r="L312" t="s">
        <v>58</v>
      </c>
    </row>
    <row r="313" spans="1:12" x14ac:dyDescent="0.35">
      <c r="A313" t="s">
        <v>888</v>
      </c>
      <c r="B313" s="4">
        <v>45599</v>
      </c>
      <c r="C313" t="s">
        <v>13</v>
      </c>
      <c r="D313" t="s">
        <v>82</v>
      </c>
      <c r="E313" t="s">
        <v>51</v>
      </c>
      <c r="F313" t="s">
        <v>74</v>
      </c>
      <c r="G313" t="s">
        <v>593</v>
      </c>
      <c r="H313">
        <v>3426.76</v>
      </c>
      <c r="I313">
        <v>797.56</v>
      </c>
      <c r="J313">
        <v>4</v>
      </c>
      <c r="K313" t="s">
        <v>26</v>
      </c>
      <c r="L313" t="s">
        <v>27</v>
      </c>
    </row>
    <row r="314" spans="1:12" x14ac:dyDescent="0.35">
      <c r="A314" t="s">
        <v>1228</v>
      </c>
      <c r="B314" s="4">
        <v>45299</v>
      </c>
      <c r="C314" t="s">
        <v>46</v>
      </c>
      <c r="D314" t="s">
        <v>56</v>
      </c>
      <c r="E314" t="s">
        <v>15</v>
      </c>
      <c r="F314" t="s">
        <v>30</v>
      </c>
      <c r="G314" t="s">
        <v>379</v>
      </c>
      <c r="H314">
        <v>3424.58</v>
      </c>
      <c r="I314">
        <v>496.49</v>
      </c>
      <c r="J314">
        <v>9</v>
      </c>
      <c r="K314" t="s">
        <v>26</v>
      </c>
      <c r="L314" t="s">
        <v>61</v>
      </c>
    </row>
    <row r="315" spans="1:12" x14ac:dyDescent="0.35">
      <c r="A315" t="s">
        <v>1177</v>
      </c>
      <c r="B315" s="4">
        <v>45331</v>
      </c>
      <c r="C315" t="s">
        <v>21</v>
      </c>
      <c r="D315" t="s">
        <v>22</v>
      </c>
      <c r="E315" t="s">
        <v>23</v>
      </c>
      <c r="F315" t="s">
        <v>92</v>
      </c>
      <c r="G315" t="s">
        <v>441</v>
      </c>
      <c r="H315">
        <v>3419.76</v>
      </c>
      <c r="I315">
        <v>310.12</v>
      </c>
      <c r="J315">
        <v>3</v>
      </c>
      <c r="K315" t="s">
        <v>26</v>
      </c>
      <c r="L315" t="s">
        <v>61</v>
      </c>
    </row>
    <row r="316" spans="1:12" x14ac:dyDescent="0.35">
      <c r="A316" t="s">
        <v>925</v>
      </c>
      <c r="B316" s="4">
        <v>45519</v>
      </c>
      <c r="C316" t="s">
        <v>46</v>
      </c>
      <c r="D316" t="s">
        <v>47</v>
      </c>
      <c r="E316" t="s">
        <v>23</v>
      </c>
      <c r="F316" t="s">
        <v>24</v>
      </c>
      <c r="G316" t="s">
        <v>123</v>
      </c>
      <c r="H316">
        <v>3417.46</v>
      </c>
      <c r="I316">
        <v>258.08</v>
      </c>
      <c r="J316">
        <v>6</v>
      </c>
      <c r="K316" t="s">
        <v>26</v>
      </c>
      <c r="L316" t="s">
        <v>42</v>
      </c>
    </row>
    <row r="317" spans="1:12" x14ac:dyDescent="0.35">
      <c r="A317" t="s">
        <v>457</v>
      </c>
      <c r="B317" s="4">
        <v>45334</v>
      </c>
      <c r="C317" t="s">
        <v>46</v>
      </c>
      <c r="D317" t="s">
        <v>56</v>
      </c>
      <c r="E317" t="s">
        <v>15</v>
      </c>
      <c r="F317" t="s">
        <v>40</v>
      </c>
      <c r="G317" t="s">
        <v>458</v>
      </c>
      <c r="H317">
        <v>3415.67</v>
      </c>
      <c r="I317">
        <v>912.49</v>
      </c>
      <c r="J317">
        <v>8</v>
      </c>
      <c r="K317" t="s">
        <v>26</v>
      </c>
      <c r="L317" t="s">
        <v>78</v>
      </c>
    </row>
    <row r="318" spans="1:12" x14ac:dyDescent="0.35">
      <c r="A318" t="s">
        <v>346</v>
      </c>
      <c r="B318" s="4">
        <v>45621</v>
      </c>
      <c r="C318" t="s">
        <v>35</v>
      </c>
      <c r="D318" t="s">
        <v>36</v>
      </c>
      <c r="E318" t="s">
        <v>15</v>
      </c>
      <c r="F318" t="s">
        <v>40</v>
      </c>
      <c r="G318" t="s">
        <v>347</v>
      </c>
      <c r="H318">
        <v>3409.07</v>
      </c>
      <c r="I318">
        <v>244.18</v>
      </c>
      <c r="J318">
        <v>2</v>
      </c>
      <c r="K318" t="s">
        <v>26</v>
      </c>
      <c r="L318" t="s">
        <v>54</v>
      </c>
    </row>
    <row r="319" spans="1:12" x14ac:dyDescent="0.35">
      <c r="A319" t="s">
        <v>574</v>
      </c>
      <c r="B319" s="4">
        <v>45345</v>
      </c>
      <c r="C319" t="s">
        <v>21</v>
      </c>
      <c r="D319" t="s">
        <v>22</v>
      </c>
      <c r="E319" t="s">
        <v>51</v>
      </c>
      <c r="F319" t="s">
        <v>74</v>
      </c>
      <c r="G319" t="s">
        <v>302</v>
      </c>
      <c r="H319">
        <v>3408.33</v>
      </c>
      <c r="I319">
        <v>635.30999999999995</v>
      </c>
      <c r="J319">
        <v>6</v>
      </c>
      <c r="K319" t="s">
        <v>18</v>
      </c>
      <c r="L319" t="s">
        <v>19</v>
      </c>
    </row>
    <row r="320" spans="1:12" x14ac:dyDescent="0.35">
      <c r="A320" t="s">
        <v>1099</v>
      </c>
      <c r="B320" s="4">
        <v>45396</v>
      </c>
      <c r="C320" t="s">
        <v>46</v>
      </c>
      <c r="D320" t="s">
        <v>56</v>
      </c>
      <c r="E320" t="s">
        <v>23</v>
      </c>
      <c r="F320" t="s">
        <v>69</v>
      </c>
      <c r="G320" t="s">
        <v>218</v>
      </c>
      <c r="H320">
        <v>3407.72</v>
      </c>
      <c r="I320">
        <v>780.66</v>
      </c>
      <c r="J320">
        <v>5</v>
      </c>
      <c r="K320" t="s">
        <v>32</v>
      </c>
      <c r="L320" t="s">
        <v>61</v>
      </c>
    </row>
    <row r="321" spans="1:12" x14ac:dyDescent="0.35">
      <c r="A321" t="s">
        <v>308</v>
      </c>
      <c r="B321" s="4">
        <v>45540</v>
      </c>
      <c r="C321" t="s">
        <v>35</v>
      </c>
      <c r="D321" t="s">
        <v>36</v>
      </c>
      <c r="E321" t="s">
        <v>15</v>
      </c>
      <c r="F321" t="s">
        <v>40</v>
      </c>
      <c r="G321" t="s">
        <v>258</v>
      </c>
      <c r="H321">
        <v>3407.24</v>
      </c>
      <c r="I321">
        <v>243.75</v>
      </c>
      <c r="J321">
        <v>2</v>
      </c>
      <c r="K321" t="s">
        <v>26</v>
      </c>
      <c r="L321" t="s">
        <v>33</v>
      </c>
    </row>
    <row r="322" spans="1:12" x14ac:dyDescent="0.35">
      <c r="A322" t="s">
        <v>254</v>
      </c>
      <c r="B322" s="4">
        <v>45461</v>
      </c>
      <c r="C322" t="s">
        <v>13</v>
      </c>
      <c r="D322" t="s">
        <v>29</v>
      </c>
      <c r="E322" t="s">
        <v>15</v>
      </c>
      <c r="F322" t="s">
        <v>40</v>
      </c>
      <c r="G322" t="s">
        <v>176</v>
      </c>
      <c r="H322">
        <v>3406.29</v>
      </c>
      <c r="I322">
        <v>713.89</v>
      </c>
      <c r="J322">
        <v>8</v>
      </c>
      <c r="K322" t="s">
        <v>18</v>
      </c>
      <c r="L322" t="s">
        <v>27</v>
      </c>
    </row>
    <row r="323" spans="1:12" x14ac:dyDescent="0.35">
      <c r="A323" t="s">
        <v>1091</v>
      </c>
      <c r="B323" s="4">
        <v>45302</v>
      </c>
      <c r="C323" t="s">
        <v>35</v>
      </c>
      <c r="D323" t="s">
        <v>50</v>
      </c>
      <c r="E323" t="s">
        <v>15</v>
      </c>
      <c r="F323" t="s">
        <v>40</v>
      </c>
      <c r="G323" t="s">
        <v>41</v>
      </c>
      <c r="H323">
        <v>3400.98</v>
      </c>
      <c r="I323">
        <v>468.19</v>
      </c>
      <c r="J323">
        <v>3</v>
      </c>
      <c r="K323" t="s">
        <v>18</v>
      </c>
      <c r="L323" t="s">
        <v>33</v>
      </c>
    </row>
    <row r="324" spans="1:12" x14ac:dyDescent="0.35">
      <c r="A324" t="s">
        <v>1107</v>
      </c>
      <c r="B324" s="4">
        <v>45460</v>
      </c>
      <c r="C324" t="s">
        <v>46</v>
      </c>
      <c r="D324" t="s">
        <v>56</v>
      </c>
      <c r="E324" t="s">
        <v>51</v>
      </c>
      <c r="F324" t="s">
        <v>66</v>
      </c>
      <c r="G324" t="s">
        <v>85</v>
      </c>
      <c r="H324">
        <v>3399.88</v>
      </c>
      <c r="I324">
        <v>1065.42</v>
      </c>
      <c r="J324">
        <v>8</v>
      </c>
      <c r="K324" t="s">
        <v>32</v>
      </c>
      <c r="L324" t="s">
        <v>27</v>
      </c>
    </row>
    <row r="325" spans="1:12" x14ac:dyDescent="0.35">
      <c r="A325" t="s">
        <v>1015</v>
      </c>
      <c r="B325" s="4">
        <v>45468</v>
      </c>
      <c r="C325" t="s">
        <v>46</v>
      </c>
      <c r="D325" t="s">
        <v>47</v>
      </c>
      <c r="E325" t="s">
        <v>51</v>
      </c>
      <c r="F325" t="s">
        <v>52</v>
      </c>
      <c r="G325" t="s">
        <v>291</v>
      </c>
      <c r="H325">
        <v>3398.54</v>
      </c>
      <c r="I325">
        <v>207.48</v>
      </c>
      <c r="J325">
        <v>1</v>
      </c>
      <c r="K325" t="s">
        <v>26</v>
      </c>
      <c r="L325" t="s">
        <v>42</v>
      </c>
    </row>
    <row r="326" spans="1:12" x14ac:dyDescent="0.35">
      <c r="A326" t="s">
        <v>748</v>
      </c>
      <c r="B326" s="4">
        <v>45437</v>
      </c>
      <c r="C326" t="s">
        <v>13</v>
      </c>
      <c r="D326" t="s">
        <v>29</v>
      </c>
      <c r="E326" t="s">
        <v>51</v>
      </c>
      <c r="F326" t="s">
        <v>52</v>
      </c>
      <c r="G326" t="s">
        <v>111</v>
      </c>
      <c r="H326">
        <v>3398.18</v>
      </c>
      <c r="I326">
        <v>275.87</v>
      </c>
      <c r="J326">
        <v>4</v>
      </c>
      <c r="K326" t="s">
        <v>18</v>
      </c>
      <c r="L326" t="s">
        <v>61</v>
      </c>
    </row>
    <row r="327" spans="1:12" x14ac:dyDescent="0.35">
      <c r="A327" t="s">
        <v>1206</v>
      </c>
      <c r="B327" s="4">
        <v>45397</v>
      </c>
      <c r="C327" t="s">
        <v>13</v>
      </c>
      <c r="D327" t="s">
        <v>82</v>
      </c>
      <c r="E327" t="s">
        <v>23</v>
      </c>
      <c r="F327" t="s">
        <v>69</v>
      </c>
      <c r="G327" t="s">
        <v>115</v>
      </c>
      <c r="H327">
        <v>3396.48</v>
      </c>
      <c r="I327">
        <v>338.17</v>
      </c>
      <c r="J327">
        <v>6</v>
      </c>
      <c r="K327" t="s">
        <v>18</v>
      </c>
      <c r="L327" t="s">
        <v>27</v>
      </c>
    </row>
    <row r="328" spans="1:12" x14ac:dyDescent="0.35">
      <c r="A328" t="s">
        <v>1149</v>
      </c>
      <c r="B328" s="4">
        <v>45322</v>
      </c>
      <c r="C328" t="s">
        <v>46</v>
      </c>
      <c r="D328" t="s">
        <v>89</v>
      </c>
      <c r="E328" t="s">
        <v>51</v>
      </c>
      <c r="F328" t="s">
        <v>66</v>
      </c>
      <c r="G328" t="s">
        <v>554</v>
      </c>
      <c r="H328">
        <v>3395.98</v>
      </c>
      <c r="I328">
        <v>174.03</v>
      </c>
      <c r="J328">
        <v>7</v>
      </c>
      <c r="K328" t="s">
        <v>26</v>
      </c>
      <c r="L328" t="s">
        <v>19</v>
      </c>
    </row>
    <row r="329" spans="1:12" x14ac:dyDescent="0.35">
      <c r="A329" t="s">
        <v>702</v>
      </c>
      <c r="B329" s="4">
        <v>45416</v>
      </c>
      <c r="C329" t="s">
        <v>46</v>
      </c>
      <c r="D329" t="s">
        <v>89</v>
      </c>
      <c r="E329" t="s">
        <v>15</v>
      </c>
      <c r="F329" t="s">
        <v>16</v>
      </c>
      <c r="G329" t="s">
        <v>284</v>
      </c>
      <c r="H329">
        <v>3387.43</v>
      </c>
      <c r="I329">
        <v>182.7</v>
      </c>
      <c r="J329">
        <v>4</v>
      </c>
      <c r="K329" t="s">
        <v>26</v>
      </c>
      <c r="L329" t="s">
        <v>78</v>
      </c>
    </row>
    <row r="330" spans="1:12" x14ac:dyDescent="0.35">
      <c r="A330" t="s">
        <v>663</v>
      </c>
      <c r="B330" s="4">
        <v>45568</v>
      </c>
      <c r="C330" t="s">
        <v>46</v>
      </c>
      <c r="D330" t="s">
        <v>56</v>
      </c>
      <c r="E330" t="s">
        <v>23</v>
      </c>
      <c r="F330" t="s">
        <v>24</v>
      </c>
      <c r="G330" t="s">
        <v>103</v>
      </c>
      <c r="H330">
        <v>3387.12</v>
      </c>
      <c r="I330">
        <v>1125.6099999999999</v>
      </c>
      <c r="J330">
        <v>4</v>
      </c>
      <c r="K330" t="s">
        <v>26</v>
      </c>
      <c r="L330" t="s">
        <v>61</v>
      </c>
    </row>
    <row r="331" spans="1:12" x14ac:dyDescent="0.35">
      <c r="A331" t="s">
        <v>1124</v>
      </c>
      <c r="B331" s="4">
        <v>45423</v>
      </c>
      <c r="C331" t="s">
        <v>21</v>
      </c>
      <c r="D331" t="s">
        <v>22</v>
      </c>
      <c r="E331" t="s">
        <v>23</v>
      </c>
      <c r="F331" t="s">
        <v>92</v>
      </c>
      <c r="G331" t="s">
        <v>165</v>
      </c>
      <c r="H331">
        <v>3380.5</v>
      </c>
      <c r="I331">
        <v>930.87</v>
      </c>
      <c r="J331">
        <v>6</v>
      </c>
      <c r="K331" t="s">
        <v>32</v>
      </c>
      <c r="L331" t="s">
        <v>33</v>
      </c>
    </row>
    <row r="332" spans="1:12" x14ac:dyDescent="0.35">
      <c r="A332" t="s">
        <v>760</v>
      </c>
      <c r="B332" s="4">
        <v>45527</v>
      </c>
      <c r="C332" t="s">
        <v>21</v>
      </c>
      <c r="D332" t="s">
        <v>134</v>
      </c>
      <c r="E332" t="s">
        <v>23</v>
      </c>
      <c r="F332" t="s">
        <v>69</v>
      </c>
      <c r="G332" t="s">
        <v>115</v>
      </c>
      <c r="H332">
        <v>3375.14</v>
      </c>
      <c r="I332">
        <v>581.52</v>
      </c>
      <c r="J332">
        <v>5</v>
      </c>
      <c r="K332" t="s">
        <v>26</v>
      </c>
      <c r="L332" t="s">
        <v>27</v>
      </c>
    </row>
    <row r="333" spans="1:12" x14ac:dyDescent="0.35">
      <c r="A333" t="s">
        <v>677</v>
      </c>
      <c r="B333" s="4">
        <v>45512</v>
      </c>
      <c r="C333" t="s">
        <v>46</v>
      </c>
      <c r="D333" t="s">
        <v>47</v>
      </c>
      <c r="E333" t="s">
        <v>23</v>
      </c>
      <c r="F333" t="s">
        <v>69</v>
      </c>
      <c r="G333" t="s">
        <v>355</v>
      </c>
      <c r="H333">
        <v>3373.09</v>
      </c>
      <c r="I333">
        <v>1124.58</v>
      </c>
      <c r="J333">
        <v>4</v>
      </c>
      <c r="K333" t="s">
        <v>26</v>
      </c>
      <c r="L333" t="s">
        <v>61</v>
      </c>
    </row>
    <row r="334" spans="1:12" x14ac:dyDescent="0.35">
      <c r="A334" t="s">
        <v>988</v>
      </c>
      <c r="B334" s="4">
        <v>45350</v>
      </c>
      <c r="C334" t="s">
        <v>46</v>
      </c>
      <c r="D334" t="s">
        <v>47</v>
      </c>
      <c r="E334" t="s">
        <v>23</v>
      </c>
      <c r="F334" t="s">
        <v>69</v>
      </c>
      <c r="G334" t="s">
        <v>70</v>
      </c>
      <c r="H334">
        <v>3372.5</v>
      </c>
      <c r="I334">
        <v>1134.3399999999999</v>
      </c>
      <c r="J334">
        <v>3</v>
      </c>
      <c r="K334" t="s">
        <v>18</v>
      </c>
      <c r="L334" t="s">
        <v>58</v>
      </c>
    </row>
    <row r="335" spans="1:12" x14ac:dyDescent="0.35">
      <c r="A335" t="s">
        <v>549</v>
      </c>
      <c r="B335" s="4">
        <v>45650</v>
      </c>
      <c r="C335" t="s">
        <v>21</v>
      </c>
      <c r="D335" t="s">
        <v>65</v>
      </c>
      <c r="E335" t="s">
        <v>51</v>
      </c>
      <c r="F335" t="s">
        <v>74</v>
      </c>
      <c r="G335" t="s">
        <v>550</v>
      </c>
      <c r="H335">
        <v>3365.83</v>
      </c>
      <c r="I335">
        <v>644.80999999999995</v>
      </c>
      <c r="J335">
        <v>7</v>
      </c>
      <c r="K335" t="s">
        <v>26</v>
      </c>
      <c r="L335" t="s">
        <v>61</v>
      </c>
    </row>
    <row r="336" spans="1:12" x14ac:dyDescent="0.35">
      <c r="A336" t="s">
        <v>1226</v>
      </c>
      <c r="B336" s="4">
        <v>45331</v>
      </c>
      <c r="C336" t="s">
        <v>13</v>
      </c>
      <c r="D336" t="s">
        <v>29</v>
      </c>
      <c r="E336" t="s">
        <v>23</v>
      </c>
      <c r="F336" t="s">
        <v>92</v>
      </c>
      <c r="G336" t="s">
        <v>441</v>
      </c>
      <c r="H336">
        <v>3355.68</v>
      </c>
      <c r="I336">
        <v>616.08000000000004</v>
      </c>
      <c r="J336">
        <v>6</v>
      </c>
      <c r="K336" t="s">
        <v>18</v>
      </c>
      <c r="L336" t="s">
        <v>58</v>
      </c>
    </row>
    <row r="337" spans="1:12" x14ac:dyDescent="0.35">
      <c r="A337" t="s">
        <v>501</v>
      </c>
      <c r="B337" s="4">
        <v>45353</v>
      </c>
      <c r="C337" t="s">
        <v>21</v>
      </c>
      <c r="D337" t="s">
        <v>134</v>
      </c>
      <c r="E337" t="s">
        <v>51</v>
      </c>
      <c r="F337" t="s">
        <v>74</v>
      </c>
      <c r="G337" t="s">
        <v>210</v>
      </c>
      <c r="H337">
        <v>3347.74</v>
      </c>
      <c r="I337">
        <v>339.7</v>
      </c>
      <c r="J337">
        <v>1</v>
      </c>
      <c r="K337" t="s">
        <v>18</v>
      </c>
      <c r="L337" t="s">
        <v>58</v>
      </c>
    </row>
    <row r="338" spans="1:12" x14ac:dyDescent="0.35">
      <c r="A338" t="s">
        <v>851</v>
      </c>
      <c r="B338" s="4">
        <v>45300</v>
      </c>
      <c r="C338" t="s">
        <v>21</v>
      </c>
      <c r="D338" t="s">
        <v>22</v>
      </c>
      <c r="E338" t="s">
        <v>23</v>
      </c>
      <c r="F338" t="s">
        <v>69</v>
      </c>
      <c r="G338" t="s">
        <v>349</v>
      </c>
      <c r="H338">
        <v>3345.46</v>
      </c>
      <c r="I338">
        <v>459.95</v>
      </c>
      <c r="J338">
        <v>9</v>
      </c>
      <c r="K338" t="s">
        <v>18</v>
      </c>
      <c r="L338" t="s">
        <v>42</v>
      </c>
    </row>
    <row r="339" spans="1:12" x14ac:dyDescent="0.35">
      <c r="A339" t="s">
        <v>440</v>
      </c>
      <c r="B339" s="4">
        <v>45439</v>
      </c>
      <c r="C339" t="s">
        <v>35</v>
      </c>
      <c r="D339" t="s">
        <v>36</v>
      </c>
      <c r="E339" t="s">
        <v>23</v>
      </c>
      <c r="F339" t="s">
        <v>92</v>
      </c>
      <c r="G339" t="s">
        <v>441</v>
      </c>
      <c r="H339">
        <v>3341.14</v>
      </c>
      <c r="I339">
        <v>321.89</v>
      </c>
      <c r="J339">
        <v>5</v>
      </c>
      <c r="K339" t="s">
        <v>18</v>
      </c>
      <c r="L339" t="s">
        <v>42</v>
      </c>
    </row>
    <row r="340" spans="1:12" x14ac:dyDescent="0.35">
      <c r="A340" t="s">
        <v>493</v>
      </c>
      <c r="B340" s="4">
        <v>45529</v>
      </c>
      <c r="C340" t="s">
        <v>13</v>
      </c>
      <c r="D340" t="s">
        <v>82</v>
      </c>
      <c r="E340" t="s">
        <v>15</v>
      </c>
      <c r="F340" t="s">
        <v>30</v>
      </c>
      <c r="G340" t="s">
        <v>271</v>
      </c>
      <c r="H340">
        <v>3340.31</v>
      </c>
      <c r="I340">
        <v>296.02999999999997</v>
      </c>
      <c r="J340">
        <v>8</v>
      </c>
      <c r="K340" t="s">
        <v>26</v>
      </c>
      <c r="L340" t="s">
        <v>61</v>
      </c>
    </row>
    <row r="341" spans="1:12" x14ac:dyDescent="0.35">
      <c r="A341" t="s">
        <v>627</v>
      </c>
      <c r="B341" s="4">
        <v>45563</v>
      </c>
      <c r="C341" t="s">
        <v>21</v>
      </c>
      <c r="D341" t="s">
        <v>22</v>
      </c>
      <c r="E341" t="s">
        <v>23</v>
      </c>
      <c r="F341" t="s">
        <v>24</v>
      </c>
      <c r="G341" t="s">
        <v>299</v>
      </c>
      <c r="H341">
        <v>3339.73</v>
      </c>
      <c r="I341">
        <v>198.25</v>
      </c>
      <c r="J341">
        <v>5</v>
      </c>
      <c r="K341" t="s">
        <v>32</v>
      </c>
      <c r="L341" t="s">
        <v>58</v>
      </c>
    </row>
    <row r="342" spans="1:12" x14ac:dyDescent="0.35">
      <c r="A342" t="s">
        <v>961</v>
      </c>
      <c r="B342" s="4">
        <v>45590</v>
      </c>
      <c r="C342" t="s">
        <v>35</v>
      </c>
      <c r="D342" t="s">
        <v>39</v>
      </c>
      <c r="E342" t="s">
        <v>51</v>
      </c>
      <c r="F342" t="s">
        <v>74</v>
      </c>
      <c r="G342" t="s">
        <v>373</v>
      </c>
      <c r="H342">
        <v>3338.47</v>
      </c>
      <c r="I342">
        <v>1049.26</v>
      </c>
      <c r="J342">
        <v>6</v>
      </c>
      <c r="K342" t="s">
        <v>26</v>
      </c>
      <c r="L342" t="s">
        <v>61</v>
      </c>
    </row>
    <row r="343" spans="1:12" x14ac:dyDescent="0.35">
      <c r="A343" t="s">
        <v>1138</v>
      </c>
      <c r="B343" s="4">
        <v>45511</v>
      </c>
      <c r="C343" t="s">
        <v>46</v>
      </c>
      <c r="D343" t="s">
        <v>47</v>
      </c>
      <c r="E343" t="s">
        <v>23</v>
      </c>
      <c r="F343" t="s">
        <v>92</v>
      </c>
      <c r="G343" t="s">
        <v>333</v>
      </c>
      <c r="H343">
        <v>3337.61</v>
      </c>
      <c r="I343">
        <v>542.54</v>
      </c>
      <c r="J343">
        <v>9</v>
      </c>
      <c r="K343" t="s">
        <v>32</v>
      </c>
      <c r="L343" t="s">
        <v>42</v>
      </c>
    </row>
    <row r="344" spans="1:12" x14ac:dyDescent="0.35">
      <c r="A344" t="s">
        <v>707</v>
      </c>
      <c r="B344" s="4">
        <v>45409</v>
      </c>
      <c r="C344" t="s">
        <v>13</v>
      </c>
      <c r="D344" t="s">
        <v>14</v>
      </c>
      <c r="E344" t="s">
        <v>15</v>
      </c>
      <c r="F344" t="s">
        <v>40</v>
      </c>
      <c r="G344" t="s">
        <v>347</v>
      </c>
      <c r="H344">
        <v>3328</v>
      </c>
      <c r="I344">
        <v>789.72</v>
      </c>
      <c r="J344">
        <v>7</v>
      </c>
      <c r="K344" t="s">
        <v>26</v>
      </c>
      <c r="L344" t="s">
        <v>27</v>
      </c>
    </row>
    <row r="345" spans="1:12" x14ac:dyDescent="0.35">
      <c r="A345" t="s">
        <v>1186</v>
      </c>
      <c r="B345" s="4">
        <v>45292</v>
      </c>
      <c r="C345" t="s">
        <v>46</v>
      </c>
      <c r="D345" t="s">
        <v>89</v>
      </c>
      <c r="E345" t="s">
        <v>23</v>
      </c>
      <c r="F345" t="s">
        <v>24</v>
      </c>
      <c r="G345" t="s">
        <v>103</v>
      </c>
      <c r="H345">
        <v>3325.17</v>
      </c>
      <c r="I345">
        <v>1079.43</v>
      </c>
      <c r="J345">
        <v>8</v>
      </c>
      <c r="K345" t="s">
        <v>32</v>
      </c>
      <c r="L345" t="s">
        <v>27</v>
      </c>
    </row>
    <row r="346" spans="1:12" x14ac:dyDescent="0.35">
      <c r="A346" t="s">
        <v>1101</v>
      </c>
      <c r="B346" s="4">
        <v>45498</v>
      </c>
      <c r="C346" t="s">
        <v>13</v>
      </c>
      <c r="D346" t="s">
        <v>82</v>
      </c>
      <c r="E346" t="s">
        <v>23</v>
      </c>
      <c r="F346" t="s">
        <v>24</v>
      </c>
      <c r="G346" t="s">
        <v>103</v>
      </c>
      <c r="H346">
        <v>3323.25</v>
      </c>
      <c r="I346">
        <v>840.35</v>
      </c>
      <c r="J346">
        <v>1</v>
      </c>
      <c r="K346" t="s">
        <v>26</v>
      </c>
      <c r="L346" t="s">
        <v>27</v>
      </c>
    </row>
    <row r="347" spans="1:12" x14ac:dyDescent="0.35">
      <c r="A347" t="s">
        <v>1006</v>
      </c>
      <c r="B347" s="4">
        <v>45362</v>
      </c>
      <c r="C347" t="s">
        <v>21</v>
      </c>
      <c r="D347" t="s">
        <v>22</v>
      </c>
      <c r="E347" t="s">
        <v>15</v>
      </c>
      <c r="F347" t="s">
        <v>30</v>
      </c>
      <c r="G347" t="s">
        <v>529</v>
      </c>
      <c r="H347">
        <v>3323.17</v>
      </c>
      <c r="I347">
        <v>891.69</v>
      </c>
      <c r="J347">
        <v>9</v>
      </c>
      <c r="K347" t="s">
        <v>32</v>
      </c>
      <c r="L347" t="s">
        <v>42</v>
      </c>
    </row>
    <row r="348" spans="1:12" x14ac:dyDescent="0.35">
      <c r="A348" t="s">
        <v>932</v>
      </c>
      <c r="B348" s="4">
        <v>45655</v>
      </c>
      <c r="C348" t="s">
        <v>46</v>
      </c>
      <c r="D348" t="s">
        <v>56</v>
      </c>
      <c r="E348" t="s">
        <v>51</v>
      </c>
      <c r="F348" t="s">
        <v>52</v>
      </c>
      <c r="G348" t="s">
        <v>279</v>
      </c>
      <c r="H348">
        <v>3319.45</v>
      </c>
      <c r="I348">
        <v>538.97</v>
      </c>
      <c r="J348">
        <v>8</v>
      </c>
      <c r="K348" t="s">
        <v>32</v>
      </c>
      <c r="L348" t="s">
        <v>61</v>
      </c>
    </row>
    <row r="349" spans="1:12" x14ac:dyDescent="0.35">
      <c r="A349" t="s">
        <v>747</v>
      </c>
      <c r="B349" s="4">
        <v>45501</v>
      </c>
      <c r="C349" t="s">
        <v>13</v>
      </c>
      <c r="D349" t="s">
        <v>29</v>
      </c>
      <c r="E349" t="s">
        <v>51</v>
      </c>
      <c r="F349" t="s">
        <v>66</v>
      </c>
      <c r="G349" t="s">
        <v>242</v>
      </c>
      <c r="H349">
        <v>3315.22</v>
      </c>
      <c r="I349">
        <v>768.89</v>
      </c>
      <c r="J349">
        <v>1</v>
      </c>
      <c r="K349" t="s">
        <v>26</v>
      </c>
      <c r="L349" t="s">
        <v>19</v>
      </c>
    </row>
    <row r="350" spans="1:12" x14ac:dyDescent="0.35">
      <c r="A350" t="s">
        <v>1022</v>
      </c>
      <c r="B350" s="4">
        <v>45585</v>
      </c>
      <c r="C350" t="s">
        <v>35</v>
      </c>
      <c r="D350" t="s">
        <v>36</v>
      </c>
      <c r="E350" t="s">
        <v>51</v>
      </c>
      <c r="F350" t="s">
        <v>74</v>
      </c>
      <c r="G350" t="s">
        <v>550</v>
      </c>
      <c r="H350">
        <v>3309.12</v>
      </c>
      <c r="I350">
        <v>858.99</v>
      </c>
      <c r="J350">
        <v>2</v>
      </c>
      <c r="K350" t="s">
        <v>32</v>
      </c>
      <c r="L350" t="s">
        <v>19</v>
      </c>
    </row>
    <row r="351" spans="1:12" x14ac:dyDescent="0.35">
      <c r="A351" t="s">
        <v>893</v>
      </c>
      <c r="B351" s="4">
        <v>45498</v>
      </c>
      <c r="C351" t="s">
        <v>13</v>
      </c>
      <c r="D351" t="s">
        <v>14</v>
      </c>
      <c r="E351" t="s">
        <v>15</v>
      </c>
      <c r="F351" t="s">
        <v>30</v>
      </c>
      <c r="G351" t="s">
        <v>297</v>
      </c>
      <c r="H351">
        <v>3306.19</v>
      </c>
      <c r="I351">
        <v>1003.85</v>
      </c>
      <c r="J351">
        <v>10</v>
      </c>
      <c r="K351" t="s">
        <v>26</v>
      </c>
      <c r="L351" t="s">
        <v>19</v>
      </c>
    </row>
    <row r="352" spans="1:12" x14ac:dyDescent="0.35">
      <c r="A352" t="s">
        <v>352</v>
      </c>
      <c r="B352" s="4">
        <v>45447</v>
      </c>
      <c r="C352" t="s">
        <v>46</v>
      </c>
      <c r="D352" t="s">
        <v>47</v>
      </c>
      <c r="E352" t="s">
        <v>23</v>
      </c>
      <c r="F352" t="s">
        <v>24</v>
      </c>
      <c r="G352" t="s">
        <v>158</v>
      </c>
      <c r="H352">
        <v>3305.58</v>
      </c>
      <c r="I352">
        <v>791.99</v>
      </c>
      <c r="J352">
        <v>2</v>
      </c>
      <c r="K352" t="s">
        <v>18</v>
      </c>
      <c r="L352" t="s">
        <v>78</v>
      </c>
    </row>
    <row r="353" spans="1:12" x14ac:dyDescent="0.35">
      <c r="A353" t="s">
        <v>795</v>
      </c>
      <c r="B353" s="4">
        <v>45588</v>
      </c>
      <c r="C353" t="s">
        <v>35</v>
      </c>
      <c r="D353" t="s">
        <v>50</v>
      </c>
      <c r="E353" t="s">
        <v>15</v>
      </c>
      <c r="F353" t="s">
        <v>16</v>
      </c>
      <c r="G353" t="s">
        <v>654</v>
      </c>
      <c r="H353">
        <v>3304.11</v>
      </c>
      <c r="I353">
        <v>890.54</v>
      </c>
      <c r="J353">
        <v>3</v>
      </c>
      <c r="K353" t="s">
        <v>26</v>
      </c>
      <c r="L353" t="s">
        <v>61</v>
      </c>
    </row>
    <row r="354" spans="1:12" x14ac:dyDescent="0.35">
      <c r="A354" t="s">
        <v>357</v>
      </c>
      <c r="B354" s="4">
        <v>45601</v>
      </c>
      <c r="C354" t="s">
        <v>21</v>
      </c>
      <c r="D354" t="s">
        <v>22</v>
      </c>
      <c r="E354" t="s">
        <v>51</v>
      </c>
      <c r="F354" t="s">
        <v>74</v>
      </c>
      <c r="G354" t="s">
        <v>210</v>
      </c>
      <c r="H354">
        <v>3303.39</v>
      </c>
      <c r="I354">
        <v>567.44000000000005</v>
      </c>
      <c r="J354">
        <v>6</v>
      </c>
      <c r="K354" t="s">
        <v>32</v>
      </c>
      <c r="L354" t="s">
        <v>78</v>
      </c>
    </row>
    <row r="355" spans="1:12" x14ac:dyDescent="0.35">
      <c r="A355" t="s">
        <v>729</v>
      </c>
      <c r="B355" s="4">
        <v>45335</v>
      </c>
      <c r="C355" t="s">
        <v>35</v>
      </c>
      <c r="D355" t="s">
        <v>39</v>
      </c>
      <c r="E355" t="s">
        <v>51</v>
      </c>
      <c r="F355" t="s">
        <v>52</v>
      </c>
      <c r="G355" t="s">
        <v>730</v>
      </c>
      <c r="H355">
        <v>3299.58</v>
      </c>
      <c r="I355">
        <v>930.05</v>
      </c>
      <c r="J355">
        <v>8</v>
      </c>
      <c r="K355" t="s">
        <v>32</v>
      </c>
      <c r="L355" t="s">
        <v>78</v>
      </c>
    </row>
    <row r="356" spans="1:12" x14ac:dyDescent="0.35">
      <c r="A356" t="s">
        <v>1157</v>
      </c>
      <c r="B356" s="4">
        <v>45395</v>
      </c>
      <c r="C356" t="s">
        <v>35</v>
      </c>
      <c r="D356" t="s">
        <v>36</v>
      </c>
      <c r="E356" t="s">
        <v>15</v>
      </c>
      <c r="F356" t="s">
        <v>30</v>
      </c>
      <c r="G356" t="s">
        <v>379</v>
      </c>
      <c r="H356">
        <v>3289.36</v>
      </c>
      <c r="I356">
        <v>831.5</v>
      </c>
      <c r="J356">
        <v>5</v>
      </c>
      <c r="K356" t="s">
        <v>26</v>
      </c>
      <c r="L356" t="s">
        <v>54</v>
      </c>
    </row>
    <row r="357" spans="1:12" x14ac:dyDescent="0.35">
      <c r="A357" t="s">
        <v>478</v>
      </c>
      <c r="B357" s="4">
        <v>45436</v>
      </c>
      <c r="C357" t="s">
        <v>35</v>
      </c>
      <c r="D357" t="s">
        <v>36</v>
      </c>
      <c r="E357" t="s">
        <v>15</v>
      </c>
      <c r="F357" t="s">
        <v>40</v>
      </c>
      <c r="G357" t="s">
        <v>176</v>
      </c>
      <c r="H357">
        <v>3272.49</v>
      </c>
      <c r="I357">
        <v>266.06</v>
      </c>
      <c r="J357">
        <v>5</v>
      </c>
      <c r="K357" t="s">
        <v>32</v>
      </c>
      <c r="L357" t="s">
        <v>58</v>
      </c>
    </row>
    <row r="358" spans="1:12" x14ac:dyDescent="0.35">
      <c r="A358" t="s">
        <v>62</v>
      </c>
      <c r="B358" s="4">
        <v>45371</v>
      </c>
      <c r="C358" t="s">
        <v>13</v>
      </c>
      <c r="D358" t="s">
        <v>29</v>
      </c>
      <c r="E358" t="s">
        <v>15</v>
      </c>
      <c r="F358" t="s">
        <v>30</v>
      </c>
      <c r="G358" t="s">
        <v>63</v>
      </c>
      <c r="H358">
        <v>3270.12</v>
      </c>
      <c r="I358">
        <v>858.59</v>
      </c>
      <c r="J358">
        <v>3</v>
      </c>
      <c r="K358" t="s">
        <v>18</v>
      </c>
      <c r="L358" t="s">
        <v>19</v>
      </c>
    </row>
    <row r="359" spans="1:12" x14ac:dyDescent="0.35">
      <c r="A359" t="s">
        <v>196</v>
      </c>
      <c r="B359" s="4">
        <v>45590</v>
      </c>
      <c r="C359" t="s">
        <v>46</v>
      </c>
      <c r="D359" t="s">
        <v>56</v>
      </c>
      <c r="E359" t="s">
        <v>15</v>
      </c>
      <c r="F359" t="s">
        <v>40</v>
      </c>
      <c r="G359" t="s">
        <v>197</v>
      </c>
      <c r="H359">
        <v>3269.47</v>
      </c>
      <c r="I359">
        <v>867.89</v>
      </c>
      <c r="J359">
        <v>3</v>
      </c>
      <c r="K359" t="s">
        <v>32</v>
      </c>
      <c r="L359" t="s">
        <v>33</v>
      </c>
    </row>
    <row r="360" spans="1:12" x14ac:dyDescent="0.35">
      <c r="A360" t="s">
        <v>1035</v>
      </c>
      <c r="B360" s="4">
        <v>45651</v>
      </c>
      <c r="C360" t="s">
        <v>35</v>
      </c>
      <c r="D360" t="s">
        <v>50</v>
      </c>
      <c r="E360" t="s">
        <v>15</v>
      </c>
      <c r="F360" t="s">
        <v>16</v>
      </c>
      <c r="G360" t="s">
        <v>117</v>
      </c>
      <c r="H360">
        <v>3269.22</v>
      </c>
      <c r="I360">
        <v>282.89</v>
      </c>
      <c r="J360">
        <v>5</v>
      </c>
      <c r="K360" t="s">
        <v>26</v>
      </c>
      <c r="L360" t="s">
        <v>61</v>
      </c>
    </row>
    <row r="361" spans="1:12" x14ac:dyDescent="0.35">
      <c r="A361" t="s">
        <v>154</v>
      </c>
      <c r="B361" s="4">
        <v>45508</v>
      </c>
      <c r="C361" t="s">
        <v>21</v>
      </c>
      <c r="D361" t="s">
        <v>134</v>
      </c>
      <c r="E361" t="s">
        <v>15</v>
      </c>
      <c r="F361" t="s">
        <v>30</v>
      </c>
      <c r="G361" t="s">
        <v>72</v>
      </c>
      <c r="H361">
        <v>3266</v>
      </c>
      <c r="I361">
        <v>759.41</v>
      </c>
      <c r="J361">
        <v>6</v>
      </c>
      <c r="K361" t="s">
        <v>32</v>
      </c>
      <c r="L361" t="s">
        <v>42</v>
      </c>
    </row>
    <row r="362" spans="1:12" x14ac:dyDescent="0.35">
      <c r="A362" t="s">
        <v>890</v>
      </c>
      <c r="B362" s="4">
        <v>45332</v>
      </c>
      <c r="C362" t="s">
        <v>46</v>
      </c>
      <c r="D362" t="s">
        <v>89</v>
      </c>
      <c r="E362" t="s">
        <v>51</v>
      </c>
      <c r="F362" t="s">
        <v>74</v>
      </c>
      <c r="G362" t="s">
        <v>324</v>
      </c>
      <c r="H362">
        <v>3251.54</v>
      </c>
      <c r="I362">
        <v>557.69000000000005</v>
      </c>
      <c r="J362">
        <v>3</v>
      </c>
      <c r="K362" t="s">
        <v>32</v>
      </c>
      <c r="L362" t="s">
        <v>78</v>
      </c>
    </row>
    <row r="363" spans="1:12" x14ac:dyDescent="0.35">
      <c r="A363" t="s">
        <v>102</v>
      </c>
      <c r="B363" s="4">
        <v>45580</v>
      </c>
      <c r="C363" t="s">
        <v>21</v>
      </c>
      <c r="D363" t="s">
        <v>65</v>
      </c>
      <c r="E363" t="s">
        <v>23</v>
      </c>
      <c r="F363" t="s">
        <v>24</v>
      </c>
      <c r="G363" t="s">
        <v>103</v>
      </c>
      <c r="H363">
        <v>3246.92</v>
      </c>
      <c r="I363">
        <v>625.26</v>
      </c>
      <c r="J363">
        <v>10</v>
      </c>
      <c r="K363" t="s">
        <v>26</v>
      </c>
      <c r="L363" t="s">
        <v>61</v>
      </c>
    </row>
    <row r="364" spans="1:12" x14ac:dyDescent="0.35">
      <c r="A364" t="s">
        <v>964</v>
      </c>
      <c r="B364" s="4">
        <v>45405</v>
      </c>
      <c r="C364" t="s">
        <v>46</v>
      </c>
      <c r="D364" t="s">
        <v>47</v>
      </c>
      <c r="E364" t="s">
        <v>23</v>
      </c>
      <c r="F364" t="s">
        <v>69</v>
      </c>
      <c r="G364" t="s">
        <v>107</v>
      </c>
      <c r="H364">
        <v>3244.96</v>
      </c>
      <c r="I364">
        <v>1008.44</v>
      </c>
      <c r="J364">
        <v>6</v>
      </c>
      <c r="K364" t="s">
        <v>18</v>
      </c>
      <c r="L364" t="s">
        <v>33</v>
      </c>
    </row>
    <row r="365" spans="1:12" x14ac:dyDescent="0.35">
      <c r="A365" t="s">
        <v>1216</v>
      </c>
      <c r="B365" s="4">
        <v>45529</v>
      </c>
      <c r="C365" t="s">
        <v>46</v>
      </c>
      <c r="D365" t="s">
        <v>89</v>
      </c>
      <c r="E365" t="s">
        <v>51</v>
      </c>
      <c r="F365" t="s">
        <v>66</v>
      </c>
      <c r="G365" t="s">
        <v>396</v>
      </c>
      <c r="H365">
        <v>3241.49</v>
      </c>
      <c r="I365">
        <v>845.94</v>
      </c>
      <c r="J365">
        <v>2</v>
      </c>
      <c r="K365" t="s">
        <v>18</v>
      </c>
      <c r="L365" t="s">
        <v>58</v>
      </c>
    </row>
    <row r="366" spans="1:12" x14ac:dyDescent="0.35">
      <c r="A366" t="s">
        <v>744</v>
      </c>
      <c r="B366" s="4">
        <v>45649</v>
      </c>
      <c r="C366" t="s">
        <v>13</v>
      </c>
      <c r="D366" t="s">
        <v>82</v>
      </c>
      <c r="E366" t="s">
        <v>15</v>
      </c>
      <c r="F366" t="s">
        <v>40</v>
      </c>
      <c r="G366" t="s">
        <v>144</v>
      </c>
      <c r="H366">
        <v>3240.76</v>
      </c>
      <c r="I366">
        <v>754.24</v>
      </c>
      <c r="J366">
        <v>4</v>
      </c>
      <c r="K366" t="s">
        <v>32</v>
      </c>
      <c r="L366" t="s">
        <v>33</v>
      </c>
    </row>
    <row r="367" spans="1:12" x14ac:dyDescent="0.35">
      <c r="A367" t="s">
        <v>137</v>
      </c>
      <c r="B367" s="4">
        <v>45509</v>
      </c>
      <c r="C367" t="s">
        <v>46</v>
      </c>
      <c r="D367" t="s">
        <v>56</v>
      </c>
      <c r="E367" t="s">
        <v>51</v>
      </c>
      <c r="F367" t="s">
        <v>66</v>
      </c>
      <c r="G367" t="s">
        <v>138</v>
      </c>
      <c r="H367">
        <v>3238.3</v>
      </c>
      <c r="I367">
        <v>477.73</v>
      </c>
      <c r="J367">
        <v>10</v>
      </c>
      <c r="K367" t="s">
        <v>18</v>
      </c>
      <c r="L367" t="s">
        <v>27</v>
      </c>
    </row>
    <row r="368" spans="1:12" x14ac:dyDescent="0.35">
      <c r="A368" t="s">
        <v>575</v>
      </c>
      <c r="B368" s="4">
        <v>45559</v>
      </c>
      <c r="C368" t="s">
        <v>21</v>
      </c>
      <c r="D368" t="s">
        <v>134</v>
      </c>
      <c r="E368" t="s">
        <v>51</v>
      </c>
      <c r="F368" t="s">
        <v>66</v>
      </c>
      <c r="G368" t="s">
        <v>351</v>
      </c>
      <c r="H368">
        <v>3234.54</v>
      </c>
      <c r="I368">
        <v>938.26</v>
      </c>
      <c r="J368">
        <v>7</v>
      </c>
      <c r="K368" t="s">
        <v>26</v>
      </c>
      <c r="L368" t="s">
        <v>58</v>
      </c>
    </row>
    <row r="369" spans="1:12" x14ac:dyDescent="0.35">
      <c r="A369" t="s">
        <v>956</v>
      </c>
      <c r="B369" s="4">
        <v>45511</v>
      </c>
      <c r="C369" t="s">
        <v>21</v>
      </c>
      <c r="D369" t="s">
        <v>65</v>
      </c>
      <c r="E369" t="s">
        <v>23</v>
      </c>
      <c r="F369" t="s">
        <v>69</v>
      </c>
      <c r="G369" t="s">
        <v>147</v>
      </c>
      <c r="H369">
        <v>3229.39</v>
      </c>
      <c r="I369">
        <v>356.71</v>
      </c>
      <c r="J369">
        <v>5</v>
      </c>
      <c r="K369" t="s">
        <v>26</v>
      </c>
      <c r="L369" t="s">
        <v>78</v>
      </c>
    </row>
    <row r="370" spans="1:12" x14ac:dyDescent="0.35">
      <c r="A370" t="s">
        <v>698</v>
      </c>
      <c r="B370" s="4">
        <v>45594</v>
      </c>
      <c r="C370" t="s">
        <v>21</v>
      </c>
      <c r="D370" t="s">
        <v>65</v>
      </c>
      <c r="E370" t="s">
        <v>15</v>
      </c>
      <c r="F370" t="s">
        <v>16</v>
      </c>
      <c r="G370" t="s">
        <v>90</v>
      </c>
      <c r="H370">
        <v>3228.15</v>
      </c>
      <c r="I370">
        <v>886.25</v>
      </c>
      <c r="J370">
        <v>9</v>
      </c>
      <c r="K370" t="s">
        <v>32</v>
      </c>
      <c r="L370" t="s">
        <v>58</v>
      </c>
    </row>
    <row r="371" spans="1:12" x14ac:dyDescent="0.35">
      <c r="A371" t="s">
        <v>1204</v>
      </c>
      <c r="B371" s="4">
        <v>45647</v>
      </c>
      <c r="C371" t="s">
        <v>46</v>
      </c>
      <c r="D371" t="s">
        <v>89</v>
      </c>
      <c r="E371" t="s">
        <v>51</v>
      </c>
      <c r="F371" t="s">
        <v>66</v>
      </c>
      <c r="G371" t="s">
        <v>396</v>
      </c>
      <c r="H371">
        <v>3221.22</v>
      </c>
      <c r="I371">
        <v>182.21</v>
      </c>
      <c r="J371">
        <v>4</v>
      </c>
      <c r="K371" t="s">
        <v>32</v>
      </c>
      <c r="L371" t="s">
        <v>27</v>
      </c>
    </row>
    <row r="372" spans="1:12" x14ac:dyDescent="0.35">
      <c r="A372" t="s">
        <v>512</v>
      </c>
      <c r="B372" s="4">
        <v>45396</v>
      </c>
      <c r="C372" t="s">
        <v>46</v>
      </c>
      <c r="D372" t="s">
        <v>89</v>
      </c>
      <c r="E372" t="s">
        <v>15</v>
      </c>
      <c r="F372" t="s">
        <v>16</v>
      </c>
      <c r="G372" t="s">
        <v>204</v>
      </c>
      <c r="H372">
        <v>3221.07</v>
      </c>
      <c r="I372">
        <v>547.66</v>
      </c>
      <c r="J372">
        <v>3</v>
      </c>
      <c r="K372" t="s">
        <v>32</v>
      </c>
      <c r="L372" t="s">
        <v>61</v>
      </c>
    </row>
    <row r="373" spans="1:12" x14ac:dyDescent="0.35">
      <c r="A373" t="s">
        <v>883</v>
      </c>
      <c r="B373" s="4">
        <v>45391</v>
      </c>
      <c r="C373" t="s">
        <v>21</v>
      </c>
      <c r="D373" t="s">
        <v>134</v>
      </c>
      <c r="E373" t="s">
        <v>15</v>
      </c>
      <c r="F373" t="s">
        <v>16</v>
      </c>
      <c r="G373" t="s">
        <v>449</v>
      </c>
      <c r="H373">
        <v>3216.86</v>
      </c>
      <c r="I373">
        <v>279.07</v>
      </c>
      <c r="J373">
        <v>5</v>
      </c>
      <c r="K373" t="s">
        <v>18</v>
      </c>
      <c r="L373" t="s">
        <v>33</v>
      </c>
    </row>
    <row r="374" spans="1:12" x14ac:dyDescent="0.35">
      <c r="A374" t="s">
        <v>551</v>
      </c>
      <c r="B374" s="4">
        <v>45645</v>
      </c>
      <c r="C374" t="s">
        <v>35</v>
      </c>
      <c r="D374" t="s">
        <v>50</v>
      </c>
      <c r="E374" t="s">
        <v>23</v>
      </c>
      <c r="F374" t="s">
        <v>24</v>
      </c>
      <c r="G374" t="s">
        <v>87</v>
      </c>
      <c r="H374">
        <v>3208.65</v>
      </c>
      <c r="I374">
        <v>416.2</v>
      </c>
      <c r="J374">
        <v>5</v>
      </c>
      <c r="K374" t="s">
        <v>18</v>
      </c>
      <c r="L374" t="s">
        <v>19</v>
      </c>
    </row>
    <row r="375" spans="1:12" x14ac:dyDescent="0.35">
      <c r="A375" t="s">
        <v>386</v>
      </c>
      <c r="B375" s="4">
        <v>45477</v>
      </c>
      <c r="C375" t="s">
        <v>46</v>
      </c>
      <c r="D375" t="s">
        <v>56</v>
      </c>
      <c r="E375" t="s">
        <v>51</v>
      </c>
      <c r="F375" t="s">
        <v>74</v>
      </c>
      <c r="G375" t="s">
        <v>373</v>
      </c>
      <c r="H375">
        <v>3200.03</v>
      </c>
      <c r="I375">
        <v>441.67</v>
      </c>
      <c r="J375">
        <v>10</v>
      </c>
      <c r="K375" t="s">
        <v>26</v>
      </c>
      <c r="L375" t="s">
        <v>78</v>
      </c>
    </row>
    <row r="376" spans="1:12" x14ac:dyDescent="0.35">
      <c r="A376" t="s">
        <v>1116</v>
      </c>
      <c r="B376" s="4">
        <v>45351</v>
      </c>
      <c r="C376" t="s">
        <v>13</v>
      </c>
      <c r="D376" t="s">
        <v>82</v>
      </c>
      <c r="E376" t="s">
        <v>15</v>
      </c>
      <c r="F376" t="s">
        <v>16</v>
      </c>
      <c r="G376" t="s">
        <v>90</v>
      </c>
      <c r="H376">
        <v>3194.41</v>
      </c>
      <c r="I376">
        <v>956.14</v>
      </c>
      <c r="J376">
        <v>4</v>
      </c>
      <c r="K376" t="s">
        <v>26</v>
      </c>
      <c r="L376" t="s">
        <v>58</v>
      </c>
    </row>
    <row r="377" spans="1:12" x14ac:dyDescent="0.35">
      <c r="A377" t="s">
        <v>734</v>
      </c>
      <c r="B377" s="4">
        <v>45339</v>
      </c>
      <c r="C377" t="s">
        <v>21</v>
      </c>
      <c r="D377" t="s">
        <v>65</v>
      </c>
      <c r="E377" t="s">
        <v>51</v>
      </c>
      <c r="F377" t="s">
        <v>66</v>
      </c>
      <c r="G377" t="s">
        <v>224</v>
      </c>
      <c r="H377">
        <v>3193.97</v>
      </c>
      <c r="I377">
        <v>1034.22</v>
      </c>
      <c r="J377">
        <v>8</v>
      </c>
      <c r="K377" t="s">
        <v>26</v>
      </c>
      <c r="L377" t="s">
        <v>19</v>
      </c>
    </row>
    <row r="378" spans="1:12" x14ac:dyDescent="0.35">
      <c r="A378" t="s">
        <v>963</v>
      </c>
      <c r="B378" s="4">
        <v>45412</v>
      </c>
      <c r="C378" t="s">
        <v>35</v>
      </c>
      <c r="D378" t="s">
        <v>39</v>
      </c>
      <c r="E378" t="s">
        <v>51</v>
      </c>
      <c r="F378" t="s">
        <v>74</v>
      </c>
      <c r="G378" t="s">
        <v>550</v>
      </c>
      <c r="H378">
        <v>3190.83</v>
      </c>
      <c r="I378">
        <v>274.56</v>
      </c>
      <c r="J378">
        <v>10</v>
      </c>
      <c r="K378" t="s">
        <v>18</v>
      </c>
      <c r="L378" t="s">
        <v>27</v>
      </c>
    </row>
    <row r="379" spans="1:12" x14ac:dyDescent="0.35">
      <c r="A379" t="s">
        <v>68</v>
      </c>
      <c r="B379" s="4">
        <v>45368</v>
      </c>
      <c r="C379" t="s">
        <v>13</v>
      </c>
      <c r="D379" t="s">
        <v>14</v>
      </c>
      <c r="E379" t="s">
        <v>23</v>
      </c>
      <c r="F379" t="s">
        <v>69</v>
      </c>
      <c r="G379" t="s">
        <v>70</v>
      </c>
      <c r="H379">
        <v>3186.04</v>
      </c>
      <c r="I379">
        <v>777.33</v>
      </c>
      <c r="J379">
        <v>8</v>
      </c>
      <c r="K379" t="s">
        <v>26</v>
      </c>
      <c r="L379" t="s">
        <v>33</v>
      </c>
    </row>
    <row r="380" spans="1:12" x14ac:dyDescent="0.35">
      <c r="A380" t="s">
        <v>942</v>
      </c>
      <c r="B380" s="4">
        <v>45539</v>
      </c>
      <c r="C380" t="s">
        <v>13</v>
      </c>
      <c r="D380" t="s">
        <v>29</v>
      </c>
      <c r="E380" t="s">
        <v>23</v>
      </c>
      <c r="F380" t="s">
        <v>92</v>
      </c>
      <c r="G380" t="s">
        <v>313</v>
      </c>
      <c r="H380">
        <v>3185.06</v>
      </c>
      <c r="I380">
        <v>769.86</v>
      </c>
      <c r="J380">
        <v>1</v>
      </c>
      <c r="K380" t="s">
        <v>26</v>
      </c>
      <c r="L380" t="s">
        <v>19</v>
      </c>
    </row>
    <row r="381" spans="1:12" x14ac:dyDescent="0.35">
      <c r="A381" t="s">
        <v>724</v>
      </c>
      <c r="B381" s="4">
        <v>45570</v>
      </c>
      <c r="C381" t="s">
        <v>35</v>
      </c>
      <c r="D381" t="s">
        <v>39</v>
      </c>
      <c r="E381" t="s">
        <v>23</v>
      </c>
      <c r="F381" t="s">
        <v>24</v>
      </c>
      <c r="G381" t="s">
        <v>158</v>
      </c>
      <c r="H381">
        <v>3168.43</v>
      </c>
      <c r="I381">
        <v>209.55</v>
      </c>
      <c r="J381">
        <v>8</v>
      </c>
      <c r="K381" t="s">
        <v>32</v>
      </c>
      <c r="L381" t="s">
        <v>33</v>
      </c>
    </row>
    <row r="382" spans="1:12" x14ac:dyDescent="0.35">
      <c r="A382" t="s">
        <v>1169</v>
      </c>
      <c r="B382" s="4">
        <v>45470</v>
      </c>
      <c r="C382" t="s">
        <v>46</v>
      </c>
      <c r="D382" t="s">
        <v>56</v>
      </c>
      <c r="E382" t="s">
        <v>15</v>
      </c>
      <c r="F382" t="s">
        <v>40</v>
      </c>
      <c r="G382" t="s">
        <v>399</v>
      </c>
      <c r="H382">
        <v>3164.61</v>
      </c>
      <c r="I382">
        <v>229.05</v>
      </c>
      <c r="J382">
        <v>9</v>
      </c>
      <c r="K382" t="s">
        <v>32</v>
      </c>
      <c r="L382" t="s">
        <v>19</v>
      </c>
    </row>
    <row r="383" spans="1:12" x14ac:dyDescent="0.35">
      <c r="A383" t="s">
        <v>796</v>
      </c>
      <c r="B383" s="4">
        <v>45497</v>
      </c>
      <c r="C383" t="s">
        <v>35</v>
      </c>
      <c r="D383" t="s">
        <v>39</v>
      </c>
      <c r="E383" t="s">
        <v>15</v>
      </c>
      <c r="F383" t="s">
        <v>40</v>
      </c>
      <c r="G383" t="s">
        <v>144</v>
      </c>
      <c r="H383">
        <v>3163.87</v>
      </c>
      <c r="I383">
        <v>992.04</v>
      </c>
      <c r="J383">
        <v>5</v>
      </c>
      <c r="K383" t="s">
        <v>32</v>
      </c>
      <c r="L383" t="s">
        <v>78</v>
      </c>
    </row>
    <row r="384" spans="1:12" x14ac:dyDescent="0.35">
      <c r="A384" t="s">
        <v>1173</v>
      </c>
      <c r="B384" s="4">
        <v>45351</v>
      </c>
      <c r="C384" t="s">
        <v>21</v>
      </c>
      <c r="D384" t="s">
        <v>65</v>
      </c>
      <c r="E384" t="s">
        <v>51</v>
      </c>
      <c r="F384" t="s">
        <v>66</v>
      </c>
      <c r="G384" t="s">
        <v>242</v>
      </c>
      <c r="H384">
        <v>3156.84</v>
      </c>
      <c r="I384">
        <v>778.47</v>
      </c>
      <c r="J384">
        <v>8</v>
      </c>
      <c r="K384" t="s">
        <v>26</v>
      </c>
      <c r="L384" t="s">
        <v>27</v>
      </c>
    </row>
    <row r="385" spans="1:12" x14ac:dyDescent="0.35">
      <c r="A385" t="s">
        <v>975</v>
      </c>
      <c r="B385" s="4">
        <v>45625</v>
      </c>
      <c r="C385" t="s">
        <v>35</v>
      </c>
      <c r="D385" t="s">
        <v>36</v>
      </c>
      <c r="E385" t="s">
        <v>15</v>
      </c>
      <c r="F385" t="s">
        <v>40</v>
      </c>
      <c r="G385" t="s">
        <v>41</v>
      </c>
      <c r="H385">
        <v>3148.5</v>
      </c>
      <c r="I385">
        <v>418.99</v>
      </c>
      <c r="J385">
        <v>7</v>
      </c>
      <c r="K385" t="s">
        <v>18</v>
      </c>
      <c r="L385" t="s">
        <v>58</v>
      </c>
    </row>
    <row r="386" spans="1:12" x14ac:dyDescent="0.35">
      <c r="A386" t="s">
        <v>1093</v>
      </c>
      <c r="B386" s="4">
        <v>45632</v>
      </c>
      <c r="C386" t="s">
        <v>13</v>
      </c>
      <c r="D386" t="s">
        <v>14</v>
      </c>
      <c r="E386" t="s">
        <v>51</v>
      </c>
      <c r="F386" t="s">
        <v>66</v>
      </c>
      <c r="G386" t="s">
        <v>737</v>
      </c>
      <c r="H386">
        <v>3144.82</v>
      </c>
      <c r="I386">
        <v>419.75</v>
      </c>
      <c r="J386">
        <v>8</v>
      </c>
      <c r="K386" t="s">
        <v>32</v>
      </c>
      <c r="L386" t="s">
        <v>61</v>
      </c>
    </row>
    <row r="387" spans="1:12" x14ac:dyDescent="0.35">
      <c r="A387" t="s">
        <v>1198</v>
      </c>
      <c r="B387" s="4">
        <v>45370</v>
      </c>
      <c r="C387" t="s">
        <v>46</v>
      </c>
      <c r="D387" t="s">
        <v>56</v>
      </c>
      <c r="E387" t="s">
        <v>23</v>
      </c>
      <c r="F387" t="s">
        <v>24</v>
      </c>
      <c r="G387" t="s">
        <v>212</v>
      </c>
      <c r="H387">
        <v>3144.34</v>
      </c>
      <c r="I387">
        <v>993.38</v>
      </c>
      <c r="J387">
        <v>10</v>
      </c>
      <c r="K387" t="s">
        <v>18</v>
      </c>
      <c r="L387" t="s">
        <v>27</v>
      </c>
    </row>
    <row r="388" spans="1:12" x14ac:dyDescent="0.35">
      <c r="A388" t="s">
        <v>1163</v>
      </c>
      <c r="B388" s="4">
        <v>45386</v>
      </c>
      <c r="C388" t="s">
        <v>13</v>
      </c>
      <c r="D388" t="s">
        <v>82</v>
      </c>
      <c r="E388" t="s">
        <v>51</v>
      </c>
      <c r="F388" t="s">
        <v>52</v>
      </c>
      <c r="G388" t="s">
        <v>499</v>
      </c>
      <c r="H388">
        <v>3141.3</v>
      </c>
      <c r="I388">
        <v>1078.55</v>
      </c>
      <c r="J388">
        <v>3</v>
      </c>
      <c r="K388" t="s">
        <v>32</v>
      </c>
      <c r="L388" t="s">
        <v>27</v>
      </c>
    </row>
    <row r="389" spans="1:12" x14ac:dyDescent="0.35">
      <c r="A389" t="s">
        <v>380</v>
      </c>
      <c r="B389" s="4">
        <v>45501</v>
      </c>
      <c r="C389" t="s">
        <v>21</v>
      </c>
      <c r="D389" t="s">
        <v>134</v>
      </c>
      <c r="E389" t="s">
        <v>51</v>
      </c>
      <c r="F389" t="s">
        <v>66</v>
      </c>
      <c r="G389" t="s">
        <v>351</v>
      </c>
      <c r="H389">
        <v>3135.39</v>
      </c>
      <c r="I389">
        <v>861.38</v>
      </c>
      <c r="J389">
        <v>6</v>
      </c>
      <c r="K389" t="s">
        <v>26</v>
      </c>
      <c r="L389" t="s">
        <v>58</v>
      </c>
    </row>
    <row r="390" spans="1:12" x14ac:dyDescent="0.35">
      <c r="A390" t="s">
        <v>382</v>
      </c>
      <c r="B390" s="4">
        <v>45373</v>
      </c>
      <c r="C390" t="s">
        <v>35</v>
      </c>
      <c r="D390" t="s">
        <v>39</v>
      </c>
      <c r="E390" t="s">
        <v>15</v>
      </c>
      <c r="F390" t="s">
        <v>40</v>
      </c>
      <c r="G390" t="s">
        <v>144</v>
      </c>
      <c r="H390">
        <v>3129.13</v>
      </c>
      <c r="I390">
        <v>825.49</v>
      </c>
      <c r="J390">
        <v>9</v>
      </c>
      <c r="K390" t="s">
        <v>18</v>
      </c>
      <c r="L390" t="s">
        <v>54</v>
      </c>
    </row>
    <row r="391" spans="1:12" x14ac:dyDescent="0.35">
      <c r="A391" t="s">
        <v>55</v>
      </c>
      <c r="B391" s="4">
        <v>45596</v>
      </c>
      <c r="C391" t="s">
        <v>46</v>
      </c>
      <c r="D391" t="s">
        <v>56</v>
      </c>
      <c r="E391" t="s">
        <v>15</v>
      </c>
      <c r="F391" t="s">
        <v>30</v>
      </c>
      <c r="G391" t="s">
        <v>57</v>
      </c>
      <c r="H391">
        <v>3127.96</v>
      </c>
      <c r="I391">
        <v>434.2</v>
      </c>
      <c r="J391">
        <v>8</v>
      </c>
      <c r="K391" t="s">
        <v>26</v>
      </c>
      <c r="L391" t="s">
        <v>58</v>
      </c>
    </row>
    <row r="392" spans="1:12" x14ac:dyDescent="0.35">
      <c r="A392" t="s">
        <v>905</v>
      </c>
      <c r="B392" s="4">
        <v>45574</v>
      </c>
      <c r="C392" t="s">
        <v>21</v>
      </c>
      <c r="D392" t="s">
        <v>134</v>
      </c>
      <c r="E392" t="s">
        <v>23</v>
      </c>
      <c r="F392" t="s">
        <v>69</v>
      </c>
      <c r="G392" t="s">
        <v>349</v>
      </c>
      <c r="H392">
        <v>3126.74</v>
      </c>
      <c r="I392">
        <v>476.57</v>
      </c>
      <c r="J392">
        <v>5</v>
      </c>
      <c r="K392" t="s">
        <v>26</v>
      </c>
      <c r="L392" t="s">
        <v>19</v>
      </c>
    </row>
    <row r="393" spans="1:12" x14ac:dyDescent="0.35">
      <c r="A393" t="s">
        <v>476</v>
      </c>
      <c r="B393" s="4">
        <v>45621</v>
      </c>
      <c r="C393" t="s">
        <v>21</v>
      </c>
      <c r="D393" t="s">
        <v>134</v>
      </c>
      <c r="E393" t="s">
        <v>23</v>
      </c>
      <c r="F393" t="s">
        <v>92</v>
      </c>
      <c r="G393" t="s">
        <v>412</v>
      </c>
      <c r="H393">
        <v>3126.18</v>
      </c>
      <c r="I393">
        <v>581.35</v>
      </c>
      <c r="J393">
        <v>9</v>
      </c>
      <c r="K393" t="s">
        <v>18</v>
      </c>
      <c r="L393" t="s">
        <v>42</v>
      </c>
    </row>
    <row r="394" spans="1:12" x14ac:dyDescent="0.35">
      <c r="A394" t="s">
        <v>276</v>
      </c>
      <c r="B394" s="4">
        <v>45627</v>
      </c>
      <c r="C394" t="s">
        <v>35</v>
      </c>
      <c r="D394" t="s">
        <v>36</v>
      </c>
      <c r="E394" t="s">
        <v>51</v>
      </c>
      <c r="F394" t="s">
        <v>74</v>
      </c>
      <c r="G394" t="s">
        <v>277</v>
      </c>
      <c r="H394">
        <v>3121.55</v>
      </c>
      <c r="I394">
        <v>307.92</v>
      </c>
      <c r="J394">
        <v>3</v>
      </c>
      <c r="K394" t="s">
        <v>26</v>
      </c>
      <c r="L394" t="s">
        <v>78</v>
      </c>
    </row>
    <row r="395" spans="1:12" x14ac:dyDescent="0.35">
      <c r="A395" t="s">
        <v>226</v>
      </c>
      <c r="B395" s="4">
        <v>45361</v>
      </c>
      <c r="C395" t="s">
        <v>35</v>
      </c>
      <c r="D395" t="s">
        <v>50</v>
      </c>
      <c r="E395" t="s">
        <v>23</v>
      </c>
      <c r="F395" t="s">
        <v>24</v>
      </c>
      <c r="G395" t="s">
        <v>149</v>
      </c>
      <c r="H395">
        <v>3121.42</v>
      </c>
      <c r="I395">
        <v>565.19000000000005</v>
      </c>
      <c r="J395">
        <v>1</v>
      </c>
      <c r="K395" t="s">
        <v>26</v>
      </c>
      <c r="L395" t="s">
        <v>27</v>
      </c>
    </row>
    <row r="396" spans="1:12" x14ac:dyDescent="0.35">
      <c r="A396" t="s">
        <v>1103</v>
      </c>
      <c r="B396" s="4">
        <v>45556</v>
      </c>
      <c r="C396" t="s">
        <v>46</v>
      </c>
      <c r="D396" t="s">
        <v>56</v>
      </c>
      <c r="E396" t="s">
        <v>51</v>
      </c>
      <c r="F396" t="s">
        <v>52</v>
      </c>
      <c r="G396" t="s">
        <v>941</v>
      </c>
      <c r="H396">
        <v>3119.41</v>
      </c>
      <c r="I396">
        <v>565.02</v>
      </c>
      <c r="J396">
        <v>6</v>
      </c>
      <c r="K396" t="s">
        <v>26</v>
      </c>
      <c r="L396" t="s">
        <v>58</v>
      </c>
    </row>
    <row r="397" spans="1:12" x14ac:dyDescent="0.35">
      <c r="A397" t="s">
        <v>1118</v>
      </c>
      <c r="B397" s="4">
        <v>45466</v>
      </c>
      <c r="C397" t="s">
        <v>35</v>
      </c>
      <c r="D397" t="s">
        <v>50</v>
      </c>
      <c r="E397" t="s">
        <v>15</v>
      </c>
      <c r="F397" t="s">
        <v>30</v>
      </c>
      <c r="G397" t="s">
        <v>529</v>
      </c>
      <c r="H397">
        <v>3113.5</v>
      </c>
      <c r="I397">
        <v>233.99</v>
      </c>
      <c r="J397">
        <v>9</v>
      </c>
      <c r="K397" t="s">
        <v>26</v>
      </c>
      <c r="L397" t="s">
        <v>33</v>
      </c>
    </row>
    <row r="398" spans="1:12" x14ac:dyDescent="0.35">
      <c r="A398" t="s">
        <v>957</v>
      </c>
      <c r="B398" s="4">
        <v>45447</v>
      </c>
      <c r="C398" t="s">
        <v>46</v>
      </c>
      <c r="D398" t="s">
        <v>89</v>
      </c>
      <c r="E398" t="s">
        <v>15</v>
      </c>
      <c r="F398" t="s">
        <v>16</v>
      </c>
      <c r="G398" t="s">
        <v>215</v>
      </c>
      <c r="H398">
        <v>3110.5</v>
      </c>
      <c r="I398">
        <v>841.73</v>
      </c>
      <c r="J398">
        <v>7</v>
      </c>
      <c r="K398" t="s">
        <v>18</v>
      </c>
      <c r="L398" t="s">
        <v>42</v>
      </c>
    </row>
    <row r="399" spans="1:12" x14ac:dyDescent="0.35">
      <c r="A399" t="s">
        <v>168</v>
      </c>
      <c r="B399" s="4">
        <v>45533</v>
      </c>
      <c r="C399" t="s">
        <v>35</v>
      </c>
      <c r="D399" t="s">
        <v>50</v>
      </c>
      <c r="E399" t="s">
        <v>23</v>
      </c>
      <c r="F399" t="s">
        <v>24</v>
      </c>
      <c r="G399" t="s">
        <v>169</v>
      </c>
      <c r="H399">
        <v>3098.41</v>
      </c>
      <c r="I399">
        <v>594.71</v>
      </c>
      <c r="J399">
        <v>1</v>
      </c>
      <c r="K399" t="s">
        <v>32</v>
      </c>
      <c r="L399" t="s">
        <v>42</v>
      </c>
    </row>
    <row r="400" spans="1:12" x14ac:dyDescent="0.35">
      <c r="A400" t="s">
        <v>906</v>
      </c>
      <c r="B400" s="4">
        <v>45618</v>
      </c>
      <c r="C400" t="s">
        <v>21</v>
      </c>
      <c r="D400" t="s">
        <v>134</v>
      </c>
      <c r="E400" t="s">
        <v>51</v>
      </c>
      <c r="F400" t="s">
        <v>66</v>
      </c>
      <c r="G400" t="s">
        <v>396</v>
      </c>
      <c r="H400">
        <v>3097.34</v>
      </c>
      <c r="I400">
        <v>221.71</v>
      </c>
      <c r="J400">
        <v>10</v>
      </c>
      <c r="K400" t="s">
        <v>32</v>
      </c>
      <c r="L400" t="s">
        <v>42</v>
      </c>
    </row>
    <row r="401" spans="1:12" x14ac:dyDescent="0.35">
      <c r="A401" t="s">
        <v>188</v>
      </c>
      <c r="B401" s="4">
        <v>45533</v>
      </c>
      <c r="C401" t="s">
        <v>46</v>
      </c>
      <c r="D401" t="s">
        <v>56</v>
      </c>
      <c r="E401" t="s">
        <v>23</v>
      </c>
      <c r="F401" t="s">
        <v>69</v>
      </c>
      <c r="G401" t="s">
        <v>167</v>
      </c>
      <c r="H401">
        <v>3095.55</v>
      </c>
      <c r="I401">
        <v>670.67</v>
      </c>
      <c r="J401">
        <v>5</v>
      </c>
      <c r="K401" t="s">
        <v>32</v>
      </c>
      <c r="L401" t="s">
        <v>19</v>
      </c>
    </row>
    <row r="402" spans="1:12" x14ac:dyDescent="0.35">
      <c r="A402" t="s">
        <v>390</v>
      </c>
      <c r="B402" s="4">
        <v>45567</v>
      </c>
      <c r="C402" t="s">
        <v>13</v>
      </c>
      <c r="D402" t="s">
        <v>82</v>
      </c>
      <c r="E402" t="s">
        <v>51</v>
      </c>
      <c r="F402" t="s">
        <v>52</v>
      </c>
      <c r="G402" t="s">
        <v>201</v>
      </c>
      <c r="H402">
        <v>3092.45</v>
      </c>
      <c r="I402">
        <v>704.76</v>
      </c>
      <c r="J402">
        <v>1</v>
      </c>
      <c r="K402" t="s">
        <v>32</v>
      </c>
      <c r="L402" t="s">
        <v>19</v>
      </c>
    </row>
    <row r="403" spans="1:12" x14ac:dyDescent="0.35">
      <c r="A403" t="s">
        <v>901</v>
      </c>
      <c r="B403" s="4">
        <v>45473</v>
      </c>
      <c r="C403" t="s">
        <v>35</v>
      </c>
      <c r="D403" t="s">
        <v>36</v>
      </c>
      <c r="E403" t="s">
        <v>15</v>
      </c>
      <c r="F403" t="s">
        <v>40</v>
      </c>
      <c r="G403" t="s">
        <v>163</v>
      </c>
      <c r="H403">
        <v>3092.03</v>
      </c>
      <c r="I403">
        <v>715.29</v>
      </c>
      <c r="J403">
        <v>1</v>
      </c>
      <c r="K403" t="s">
        <v>32</v>
      </c>
      <c r="L403" t="s">
        <v>42</v>
      </c>
    </row>
    <row r="404" spans="1:12" x14ac:dyDescent="0.35">
      <c r="A404" t="s">
        <v>1057</v>
      </c>
      <c r="B404" s="4">
        <v>45354</v>
      </c>
      <c r="C404" t="s">
        <v>46</v>
      </c>
      <c r="D404" t="s">
        <v>56</v>
      </c>
      <c r="E404" t="s">
        <v>23</v>
      </c>
      <c r="F404" t="s">
        <v>24</v>
      </c>
      <c r="G404" t="s">
        <v>496</v>
      </c>
      <c r="H404">
        <v>3088.74</v>
      </c>
      <c r="I404">
        <v>218.5</v>
      </c>
      <c r="J404">
        <v>10</v>
      </c>
      <c r="K404" t="s">
        <v>26</v>
      </c>
      <c r="L404" t="s">
        <v>78</v>
      </c>
    </row>
    <row r="405" spans="1:12" x14ac:dyDescent="0.35">
      <c r="A405" t="s">
        <v>1151</v>
      </c>
      <c r="B405" s="4">
        <v>45624</v>
      </c>
      <c r="C405" t="s">
        <v>21</v>
      </c>
      <c r="D405" t="s">
        <v>65</v>
      </c>
      <c r="E405" t="s">
        <v>51</v>
      </c>
      <c r="F405" t="s">
        <v>66</v>
      </c>
      <c r="G405" t="s">
        <v>826</v>
      </c>
      <c r="H405">
        <v>3082.25</v>
      </c>
      <c r="I405">
        <v>643.39</v>
      </c>
      <c r="J405">
        <v>9</v>
      </c>
      <c r="K405" t="s">
        <v>18</v>
      </c>
      <c r="L405" t="s">
        <v>42</v>
      </c>
    </row>
    <row r="406" spans="1:12" x14ac:dyDescent="0.35">
      <c r="A406" t="s">
        <v>405</v>
      </c>
      <c r="B406" s="4">
        <v>45338</v>
      </c>
      <c r="C406" t="s">
        <v>13</v>
      </c>
      <c r="D406" t="s">
        <v>29</v>
      </c>
      <c r="E406" t="s">
        <v>15</v>
      </c>
      <c r="F406" t="s">
        <v>16</v>
      </c>
      <c r="G406" t="s">
        <v>181</v>
      </c>
      <c r="H406">
        <v>3072.63</v>
      </c>
      <c r="I406">
        <v>811.66</v>
      </c>
      <c r="J406">
        <v>5</v>
      </c>
      <c r="K406" t="s">
        <v>32</v>
      </c>
      <c r="L406" t="s">
        <v>19</v>
      </c>
    </row>
    <row r="407" spans="1:12" x14ac:dyDescent="0.35">
      <c r="A407" t="s">
        <v>20</v>
      </c>
      <c r="B407" s="4">
        <v>45465</v>
      </c>
      <c r="C407" t="s">
        <v>21</v>
      </c>
      <c r="D407" t="s">
        <v>22</v>
      </c>
      <c r="E407" t="s">
        <v>23</v>
      </c>
      <c r="F407" t="s">
        <v>24</v>
      </c>
      <c r="G407" t="s">
        <v>25</v>
      </c>
      <c r="H407">
        <v>3057.15</v>
      </c>
      <c r="I407">
        <v>757.23</v>
      </c>
      <c r="J407">
        <v>4</v>
      </c>
      <c r="K407" t="s">
        <v>26</v>
      </c>
      <c r="L407" t="s">
        <v>27</v>
      </c>
    </row>
    <row r="408" spans="1:12" x14ac:dyDescent="0.35">
      <c r="A408" t="s">
        <v>647</v>
      </c>
      <c r="B408" s="4">
        <v>45632</v>
      </c>
      <c r="C408" t="s">
        <v>13</v>
      </c>
      <c r="D408" t="s">
        <v>29</v>
      </c>
      <c r="E408" t="s">
        <v>15</v>
      </c>
      <c r="F408" t="s">
        <v>30</v>
      </c>
      <c r="G408" t="s">
        <v>48</v>
      </c>
      <c r="H408">
        <v>3055.98</v>
      </c>
      <c r="I408">
        <v>378.04</v>
      </c>
      <c r="J408">
        <v>10</v>
      </c>
      <c r="K408" t="s">
        <v>18</v>
      </c>
      <c r="L408" t="s">
        <v>58</v>
      </c>
    </row>
    <row r="409" spans="1:12" x14ac:dyDescent="0.35">
      <c r="A409" t="s">
        <v>718</v>
      </c>
      <c r="B409" s="4">
        <v>45631</v>
      </c>
      <c r="C409" t="s">
        <v>13</v>
      </c>
      <c r="D409" t="s">
        <v>29</v>
      </c>
      <c r="E409" t="s">
        <v>51</v>
      </c>
      <c r="F409" t="s">
        <v>52</v>
      </c>
      <c r="G409" t="s">
        <v>535</v>
      </c>
      <c r="H409">
        <v>3048.81</v>
      </c>
      <c r="I409">
        <v>866.07</v>
      </c>
      <c r="J409">
        <v>7</v>
      </c>
      <c r="K409" t="s">
        <v>32</v>
      </c>
      <c r="L409" t="s">
        <v>54</v>
      </c>
    </row>
    <row r="410" spans="1:12" x14ac:dyDescent="0.35">
      <c r="A410" t="s">
        <v>370</v>
      </c>
      <c r="B410" s="4">
        <v>45393</v>
      </c>
      <c r="C410" t="s">
        <v>35</v>
      </c>
      <c r="D410" t="s">
        <v>39</v>
      </c>
      <c r="E410" t="s">
        <v>51</v>
      </c>
      <c r="F410" t="s">
        <v>52</v>
      </c>
      <c r="G410" t="s">
        <v>316</v>
      </c>
      <c r="H410">
        <v>3047.62</v>
      </c>
      <c r="I410">
        <v>535.62</v>
      </c>
      <c r="J410">
        <v>7</v>
      </c>
      <c r="K410" t="s">
        <v>18</v>
      </c>
      <c r="L410" t="s">
        <v>54</v>
      </c>
    </row>
    <row r="411" spans="1:12" x14ac:dyDescent="0.35">
      <c r="A411" t="s">
        <v>28</v>
      </c>
      <c r="B411" s="4">
        <v>45332</v>
      </c>
      <c r="C411" t="s">
        <v>13</v>
      </c>
      <c r="D411" t="s">
        <v>29</v>
      </c>
      <c r="E411" t="s">
        <v>15</v>
      </c>
      <c r="F411" t="s">
        <v>30</v>
      </c>
      <c r="G411" t="s">
        <v>31</v>
      </c>
      <c r="H411">
        <v>3044.51</v>
      </c>
      <c r="I411">
        <v>461.75</v>
      </c>
      <c r="J411">
        <v>1</v>
      </c>
      <c r="K411" t="s">
        <v>32</v>
      </c>
      <c r="L411" t="s">
        <v>33</v>
      </c>
    </row>
    <row r="412" spans="1:12" x14ac:dyDescent="0.35">
      <c r="A412" t="s">
        <v>1018</v>
      </c>
      <c r="B412" s="4">
        <v>45545</v>
      </c>
      <c r="C412" t="s">
        <v>35</v>
      </c>
      <c r="D412" t="s">
        <v>36</v>
      </c>
      <c r="E412" t="s">
        <v>23</v>
      </c>
      <c r="F412" t="s">
        <v>24</v>
      </c>
      <c r="G412" t="s">
        <v>153</v>
      </c>
      <c r="H412">
        <v>3042.72</v>
      </c>
      <c r="I412">
        <v>473.04</v>
      </c>
      <c r="J412">
        <v>6</v>
      </c>
      <c r="K412" t="s">
        <v>18</v>
      </c>
      <c r="L412" t="s">
        <v>33</v>
      </c>
    </row>
    <row r="413" spans="1:12" x14ac:dyDescent="0.35">
      <c r="A413" t="s">
        <v>668</v>
      </c>
      <c r="B413" s="4">
        <v>45318</v>
      </c>
      <c r="C413" t="s">
        <v>35</v>
      </c>
      <c r="D413" t="s">
        <v>39</v>
      </c>
      <c r="E413" t="s">
        <v>51</v>
      </c>
      <c r="F413" t="s">
        <v>66</v>
      </c>
      <c r="G413" t="s">
        <v>96</v>
      </c>
      <c r="H413">
        <v>3039.98</v>
      </c>
      <c r="I413">
        <v>875.82</v>
      </c>
      <c r="J413">
        <v>10</v>
      </c>
      <c r="K413" t="s">
        <v>32</v>
      </c>
      <c r="L413" t="s">
        <v>19</v>
      </c>
    </row>
    <row r="414" spans="1:12" x14ac:dyDescent="0.35">
      <c r="A414" t="s">
        <v>1132</v>
      </c>
      <c r="B414" s="4">
        <v>45347</v>
      </c>
      <c r="C414" t="s">
        <v>21</v>
      </c>
      <c r="D414" t="s">
        <v>22</v>
      </c>
      <c r="E414" t="s">
        <v>51</v>
      </c>
      <c r="F414" t="s">
        <v>74</v>
      </c>
      <c r="G414" t="s">
        <v>324</v>
      </c>
      <c r="H414">
        <v>3035.3</v>
      </c>
      <c r="I414">
        <v>176.88</v>
      </c>
      <c r="J414">
        <v>8</v>
      </c>
      <c r="K414" t="s">
        <v>26</v>
      </c>
      <c r="L414" t="s">
        <v>33</v>
      </c>
    </row>
    <row r="415" spans="1:12" x14ac:dyDescent="0.35">
      <c r="A415" t="s">
        <v>192</v>
      </c>
      <c r="B415" s="4">
        <v>45350</v>
      </c>
      <c r="C415" t="s">
        <v>21</v>
      </c>
      <c r="D415" t="s">
        <v>134</v>
      </c>
      <c r="E415" t="s">
        <v>51</v>
      </c>
      <c r="F415" t="s">
        <v>74</v>
      </c>
      <c r="G415" t="s">
        <v>193</v>
      </c>
      <c r="H415">
        <v>3031.1</v>
      </c>
      <c r="I415">
        <v>319.08999999999997</v>
      </c>
      <c r="J415">
        <v>2</v>
      </c>
      <c r="K415" t="s">
        <v>26</v>
      </c>
      <c r="L415" t="s">
        <v>78</v>
      </c>
    </row>
    <row r="416" spans="1:12" x14ac:dyDescent="0.35">
      <c r="A416" t="s">
        <v>234</v>
      </c>
      <c r="B416" s="4">
        <v>45469</v>
      </c>
      <c r="C416" t="s">
        <v>46</v>
      </c>
      <c r="D416" t="s">
        <v>47</v>
      </c>
      <c r="E416" t="s">
        <v>15</v>
      </c>
      <c r="F416" t="s">
        <v>40</v>
      </c>
      <c r="G416" t="s">
        <v>77</v>
      </c>
      <c r="H416">
        <v>3030.44</v>
      </c>
      <c r="I416">
        <v>622.76</v>
      </c>
      <c r="J416">
        <v>3</v>
      </c>
      <c r="K416" t="s">
        <v>18</v>
      </c>
      <c r="L416" t="s">
        <v>33</v>
      </c>
    </row>
    <row r="417" spans="1:12" x14ac:dyDescent="0.35">
      <c r="A417" t="s">
        <v>160</v>
      </c>
      <c r="B417" s="4">
        <v>45561</v>
      </c>
      <c r="C417" t="s">
        <v>13</v>
      </c>
      <c r="D417" t="s">
        <v>82</v>
      </c>
      <c r="E417" t="s">
        <v>23</v>
      </c>
      <c r="F417" t="s">
        <v>69</v>
      </c>
      <c r="G417" t="s">
        <v>161</v>
      </c>
      <c r="H417">
        <v>3028.08</v>
      </c>
      <c r="I417">
        <v>465.74</v>
      </c>
      <c r="J417">
        <v>1</v>
      </c>
      <c r="K417" t="s">
        <v>26</v>
      </c>
      <c r="L417" t="s">
        <v>61</v>
      </c>
    </row>
    <row r="418" spans="1:12" x14ac:dyDescent="0.35">
      <c r="A418" t="s">
        <v>713</v>
      </c>
      <c r="B418" s="4">
        <v>45459</v>
      </c>
      <c r="C418" t="s">
        <v>35</v>
      </c>
      <c r="D418" t="s">
        <v>36</v>
      </c>
      <c r="E418" t="s">
        <v>23</v>
      </c>
      <c r="F418" t="s">
        <v>69</v>
      </c>
      <c r="G418" t="s">
        <v>714</v>
      </c>
      <c r="H418">
        <v>3027.11</v>
      </c>
      <c r="I418">
        <v>687.64</v>
      </c>
      <c r="J418">
        <v>1</v>
      </c>
      <c r="K418" t="s">
        <v>18</v>
      </c>
      <c r="L418" t="s">
        <v>58</v>
      </c>
    </row>
    <row r="419" spans="1:12" x14ac:dyDescent="0.35">
      <c r="A419" t="s">
        <v>243</v>
      </c>
      <c r="B419" s="4">
        <v>45307</v>
      </c>
      <c r="C419" t="s">
        <v>21</v>
      </c>
      <c r="D419" t="s">
        <v>22</v>
      </c>
      <c r="E419" t="s">
        <v>51</v>
      </c>
      <c r="F419" t="s">
        <v>66</v>
      </c>
      <c r="G419" t="s">
        <v>244</v>
      </c>
      <c r="H419">
        <v>3019.99</v>
      </c>
      <c r="I419">
        <v>810.13</v>
      </c>
      <c r="J419">
        <v>1</v>
      </c>
      <c r="K419" t="s">
        <v>26</v>
      </c>
      <c r="L419" t="s">
        <v>61</v>
      </c>
    </row>
    <row r="420" spans="1:12" x14ac:dyDescent="0.35">
      <c r="A420" t="s">
        <v>282</v>
      </c>
      <c r="B420" s="4">
        <v>45502</v>
      </c>
      <c r="C420" t="s">
        <v>35</v>
      </c>
      <c r="D420" t="s">
        <v>39</v>
      </c>
      <c r="E420" t="s">
        <v>51</v>
      </c>
      <c r="F420" t="s">
        <v>66</v>
      </c>
      <c r="G420" t="s">
        <v>224</v>
      </c>
      <c r="H420">
        <v>3019.02</v>
      </c>
      <c r="I420">
        <v>264.44</v>
      </c>
      <c r="J420">
        <v>10</v>
      </c>
      <c r="K420" t="s">
        <v>26</v>
      </c>
      <c r="L420" t="s">
        <v>61</v>
      </c>
    </row>
    <row r="421" spans="1:12" x14ac:dyDescent="0.35">
      <c r="A421" t="s">
        <v>985</v>
      </c>
      <c r="B421" s="4">
        <v>45440</v>
      </c>
      <c r="C421" t="s">
        <v>46</v>
      </c>
      <c r="D421" t="s">
        <v>89</v>
      </c>
      <c r="E421" t="s">
        <v>15</v>
      </c>
      <c r="F421" t="s">
        <v>16</v>
      </c>
      <c r="G421" t="s">
        <v>569</v>
      </c>
      <c r="H421">
        <v>3011.18</v>
      </c>
      <c r="I421">
        <v>562.85</v>
      </c>
      <c r="J421">
        <v>4</v>
      </c>
      <c r="K421" t="s">
        <v>18</v>
      </c>
      <c r="L421" t="s">
        <v>42</v>
      </c>
    </row>
    <row r="422" spans="1:12" x14ac:dyDescent="0.35">
      <c r="A422" t="s">
        <v>368</v>
      </c>
      <c r="B422" s="4">
        <v>45513</v>
      </c>
      <c r="C422" t="s">
        <v>46</v>
      </c>
      <c r="D422" t="s">
        <v>89</v>
      </c>
      <c r="E422" t="s">
        <v>15</v>
      </c>
      <c r="F422" t="s">
        <v>40</v>
      </c>
      <c r="G422" t="s">
        <v>246</v>
      </c>
      <c r="H422">
        <v>3008.19</v>
      </c>
      <c r="I422">
        <v>226.88</v>
      </c>
      <c r="J422">
        <v>3</v>
      </c>
      <c r="K422" t="s">
        <v>18</v>
      </c>
      <c r="L422" t="s">
        <v>78</v>
      </c>
    </row>
    <row r="423" spans="1:12" x14ac:dyDescent="0.35">
      <c r="A423" t="s">
        <v>231</v>
      </c>
      <c r="B423" s="4">
        <v>45396</v>
      </c>
      <c r="C423" t="s">
        <v>13</v>
      </c>
      <c r="D423" t="s">
        <v>82</v>
      </c>
      <c r="E423" t="s">
        <v>23</v>
      </c>
      <c r="F423" t="s">
        <v>24</v>
      </c>
      <c r="G423" t="s">
        <v>190</v>
      </c>
      <c r="H423">
        <v>3006.96</v>
      </c>
      <c r="I423">
        <v>903.88</v>
      </c>
      <c r="J423">
        <v>2</v>
      </c>
      <c r="K423" t="s">
        <v>32</v>
      </c>
      <c r="L423" t="s">
        <v>61</v>
      </c>
    </row>
    <row r="424" spans="1:12" x14ac:dyDescent="0.35">
      <c r="A424" t="s">
        <v>810</v>
      </c>
      <c r="B424" s="4">
        <v>45505</v>
      </c>
      <c r="C424" t="s">
        <v>46</v>
      </c>
      <c r="D424" t="s">
        <v>47</v>
      </c>
      <c r="E424" t="s">
        <v>51</v>
      </c>
      <c r="F424" t="s">
        <v>52</v>
      </c>
      <c r="G424" t="s">
        <v>201</v>
      </c>
      <c r="H424">
        <v>3005.04</v>
      </c>
      <c r="I424">
        <v>972.34</v>
      </c>
      <c r="J424">
        <v>3</v>
      </c>
      <c r="K424" t="s">
        <v>18</v>
      </c>
      <c r="L424" t="s">
        <v>42</v>
      </c>
    </row>
    <row r="425" spans="1:12" x14ac:dyDescent="0.35">
      <c r="A425" t="s">
        <v>146</v>
      </c>
      <c r="B425" s="4">
        <v>45457</v>
      </c>
      <c r="C425" t="s">
        <v>13</v>
      </c>
      <c r="D425" t="s">
        <v>82</v>
      </c>
      <c r="E425" t="s">
        <v>23</v>
      </c>
      <c r="F425" t="s">
        <v>69</v>
      </c>
      <c r="G425" t="s">
        <v>147</v>
      </c>
      <c r="H425">
        <v>3003.75</v>
      </c>
      <c r="I425">
        <v>737.32</v>
      </c>
      <c r="J425">
        <v>7</v>
      </c>
      <c r="K425" t="s">
        <v>32</v>
      </c>
      <c r="L425" t="s">
        <v>61</v>
      </c>
    </row>
    <row r="426" spans="1:12" x14ac:dyDescent="0.35">
      <c r="A426" t="s">
        <v>1034</v>
      </c>
      <c r="B426" s="4">
        <v>45580</v>
      </c>
      <c r="C426" t="s">
        <v>46</v>
      </c>
      <c r="D426" t="s">
        <v>47</v>
      </c>
      <c r="E426" t="s">
        <v>51</v>
      </c>
      <c r="F426" t="s">
        <v>52</v>
      </c>
      <c r="G426" t="s">
        <v>185</v>
      </c>
      <c r="H426">
        <v>2998.68</v>
      </c>
      <c r="I426">
        <v>599.4</v>
      </c>
      <c r="J426">
        <v>7</v>
      </c>
      <c r="K426" t="s">
        <v>32</v>
      </c>
      <c r="L426" t="s">
        <v>54</v>
      </c>
    </row>
    <row r="427" spans="1:12" x14ac:dyDescent="0.35">
      <c r="A427" t="s">
        <v>859</v>
      </c>
      <c r="B427" s="4">
        <v>45541</v>
      </c>
      <c r="C427" t="s">
        <v>21</v>
      </c>
      <c r="D427" t="s">
        <v>22</v>
      </c>
      <c r="E427" t="s">
        <v>15</v>
      </c>
      <c r="F427" t="s">
        <v>16</v>
      </c>
      <c r="G427" t="s">
        <v>204</v>
      </c>
      <c r="H427">
        <v>2992.74</v>
      </c>
      <c r="I427">
        <v>707.26</v>
      </c>
      <c r="J427">
        <v>3</v>
      </c>
      <c r="K427" t="s">
        <v>18</v>
      </c>
      <c r="L427" t="s">
        <v>78</v>
      </c>
    </row>
    <row r="428" spans="1:12" x14ac:dyDescent="0.35">
      <c r="A428" t="s">
        <v>989</v>
      </c>
      <c r="B428" s="4">
        <v>45336</v>
      </c>
      <c r="C428" t="s">
        <v>35</v>
      </c>
      <c r="D428" t="s">
        <v>50</v>
      </c>
      <c r="E428" t="s">
        <v>15</v>
      </c>
      <c r="F428" t="s">
        <v>16</v>
      </c>
      <c r="G428" t="s">
        <v>179</v>
      </c>
      <c r="H428">
        <v>2984.05</v>
      </c>
      <c r="I428">
        <v>807.82</v>
      </c>
      <c r="J428">
        <v>7</v>
      </c>
      <c r="K428" t="s">
        <v>32</v>
      </c>
      <c r="L428" t="s">
        <v>61</v>
      </c>
    </row>
    <row r="429" spans="1:12" x14ac:dyDescent="0.35">
      <c r="A429" t="s">
        <v>590</v>
      </c>
      <c r="B429" s="4">
        <v>45640</v>
      </c>
      <c r="C429" t="s">
        <v>13</v>
      </c>
      <c r="D429" t="s">
        <v>29</v>
      </c>
      <c r="E429" t="s">
        <v>51</v>
      </c>
      <c r="F429" t="s">
        <v>74</v>
      </c>
      <c r="G429" t="s">
        <v>132</v>
      </c>
      <c r="H429">
        <v>2981.14</v>
      </c>
      <c r="I429">
        <v>331.65</v>
      </c>
      <c r="J429">
        <v>7</v>
      </c>
      <c r="K429" t="s">
        <v>32</v>
      </c>
      <c r="L429" t="s">
        <v>54</v>
      </c>
    </row>
    <row r="430" spans="1:12" x14ac:dyDescent="0.35">
      <c r="A430" t="s">
        <v>927</v>
      </c>
      <c r="B430" s="4">
        <v>45504</v>
      </c>
      <c r="C430" t="s">
        <v>46</v>
      </c>
      <c r="D430" t="s">
        <v>89</v>
      </c>
      <c r="E430" t="s">
        <v>23</v>
      </c>
      <c r="F430" t="s">
        <v>24</v>
      </c>
      <c r="G430" t="s">
        <v>586</v>
      </c>
      <c r="H430">
        <v>2973.13</v>
      </c>
      <c r="I430">
        <v>369.96</v>
      </c>
      <c r="J430">
        <v>5</v>
      </c>
      <c r="K430" t="s">
        <v>26</v>
      </c>
      <c r="L430" t="s">
        <v>58</v>
      </c>
    </row>
    <row r="431" spans="1:12" x14ac:dyDescent="0.35">
      <c r="A431" t="s">
        <v>1214</v>
      </c>
      <c r="B431" s="4">
        <v>45342</v>
      </c>
      <c r="C431" t="s">
        <v>21</v>
      </c>
      <c r="D431" t="s">
        <v>134</v>
      </c>
      <c r="E431" t="s">
        <v>23</v>
      </c>
      <c r="F431" t="s">
        <v>92</v>
      </c>
      <c r="G431" t="s">
        <v>412</v>
      </c>
      <c r="H431">
        <v>2968.16</v>
      </c>
      <c r="I431">
        <v>333.84</v>
      </c>
      <c r="J431">
        <v>8</v>
      </c>
      <c r="K431" t="s">
        <v>26</v>
      </c>
      <c r="L431" t="s">
        <v>42</v>
      </c>
    </row>
    <row r="432" spans="1:12" x14ac:dyDescent="0.35">
      <c r="A432" t="s">
        <v>1036</v>
      </c>
      <c r="B432" s="4">
        <v>45330</v>
      </c>
      <c r="C432" t="s">
        <v>46</v>
      </c>
      <c r="D432" t="s">
        <v>56</v>
      </c>
      <c r="E432" t="s">
        <v>15</v>
      </c>
      <c r="F432" t="s">
        <v>40</v>
      </c>
      <c r="G432" t="s">
        <v>609</v>
      </c>
      <c r="H432">
        <v>2965.66</v>
      </c>
      <c r="I432">
        <v>313.08999999999997</v>
      </c>
      <c r="J432">
        <v>9</v>
      </c>
      <c r="K432" t="s">
        <v>18</v>
      </c>
      <c r="L432" t="s">
        <v>19</v>
      </c>
    </row>
    <row r="433" spans="1:12" x14ac:dyDescent="0.35">
      <c r="A433" t="s">
        <v>120</v>
      </c>
      <c r="B433" s="4">
        <v>45462</v>
      </c>
      <c r="C433" t="s">
        <v>46</v>
      </c>
      <c r="D433" t="s">
        <v>56</v>
      </c>
      <c r="E433" t="s">
        <v>51</v>
      </c>
      <c r="F433" t="s">
        <v>52</v>
      </c>
      <c r="G433" t="s">
        <v>121</v>
      </c>
      <c r="H433">
        <v>2963.89</v>
      </c>
      <c r="I433">
        <v>304.08999999999997</v>
      </c>
      <c r="J433">
        <v>5</v>
      </c>
      <c r="K433" t="s">
        <v>18</v>
      </c>
      <c r="L433" t="s">
        <v>19</v>
      </c>
    </row>
    <row r="434" spans="1:12" x14ac:dyDescent="0.35">
      <c r="A434" t="s">
        <v>1023</v>
      </c>
      <c r="B434" s="4">
        <v>45358</v>
      </c>
      <c r="C434" t="s">
        <v>21</v>
      </c>
      <c r="D434" t="s">
        <v>22</v>
      </c>
      <c r="E434" t="s">
        <v>51</v>
      </c>
      <c r="F434" t="s">
        <v>66</v>
      </c>
      <c r="G434" t="s">
        <v>85</v>
      </c>
      <c r="H434">
        <v>2963.81</v>
      </c>
      <c r="I434">
        <v>978.52</v>
      </c>
      <c r="J434">
        <v>10</v>
      </c>
      <c r="K434" t="s">
        <v>32</v>
      </c>
      <c r="L434" t="s">
        <v>27</v>
      </c>
    </row>
    <row r="435" spans="1:12" x14ac:dyDescent="0.35">
      <c r="A435" t="s">
        <v>395</v>
      </c>
      <c r="B435" s="4">
        <v>45635</v>
      </c>
      <c r="C435" t="s">
        <v>13</v>
      </c>
      <c r="D435" t="s">
        <v>14</v>
      </c>
      <c r="E435" t="s">
        <v>51</v>
      </c>
      <c r="F435" t="s">
        <v>66</v>
      </c>
      <c r="G435" t="s">
        <v>396</v>
      </c>
      <c r="H435">
        <v>2960.67</v>
      </c>
      <c r="I435">
        <v>305.49</v>
      </c>
      <c r="J435">
        <v>8</v>
      </c>
      <c r="K435" t="s">
        <v>32</v>
      </c>
      <c r="L435" t="s">
        <v>58</v>
      </c>
    </row>
    <row r="436" spans="1:12" x14ac:dyDescent="0.35">
      <c r="A436" t="s">
        <v>1000</v>
      </c>
      <c r="B436" s="4">
        <v>45317</v>
      </c>
      <c r="C436" t="s">
        <v>13</v>
      </c>
      <c r="D436" t="s">
        <v>14</v>
      </c>
      <c r="E436" t="s">
        <v>15</v>
      </c>
      <c r="F436" t="s">
        <v>40</v>
      </c>
      <c r="G436" t="s">
        <v>609</v>
      </c>
      <c r="H436">
        <v>2942.23</v>
      </c>
      <c r="I436">
        <v>891.24</v>
      </c>
      <c r="J436">
        <v>3</v>
      </c>
      <c r="K436" t="s">
        <v>18</v>
      </c>
      <c r="L436" t="s">
        <v>61</v>
      </c>
    </row>
    <row r="437" spans="1:12" x14ac:dyDescent="0.35">
      <c r="A437" t="s">
        <v>1123</v>
      </c>
      <c r="B437" s="4">
        <v>45453</v>
      </c>
      <c r="C437" t="s">
        <v>35</v>
      </c>
      <c r="D437" t="s">
        <v>36</v>
      </c>
      <c r="E437" t="s">
        <v>51</v>
      </c>
      <c r="F437" t="s">
        <v>52</v>
      </c>
      <c r="G437" t="s">
        <v>499</v>
      </c>
      <c r="H437">
        <v>2932.65</v>
      </c>
      <c r="I437">
        <v>753.57</v>
      </c>
      <c r="J437">
        <v>3</v>
      </c>
      <c r="K437" t="s">
        <v>32</v>
      </c>
      <c r="L437" t="s">
        <v>42</v>
      </c>
    </row>
    <row r="438" spans="1:12" x14ac:dyDescent="0.35">
      <c r="A438" t="s">
        <v>175</v>
      </c>
      <c r="B438" s="4">
        <v>45481</v>
      </c>
      <c r="C438" t="s">
        <v>13</v>
      </c>
      <c r="D438" t="s">
        <v>14</v>
      </c>
      <c r="E438" t="s">
        <v>15</v>
      </c>
      <c r="F438" t="s">
        <v>40</v>
      </c>
      <c r="G438" t="s">
        <v>176</v>
      </c>
      <c r="H438">
        <v>2931.11</v>
      </c>
      <c r="I438">
        <v>429.7</v>
      </c>
      <c r="J438">
        <v>6</v>
      </c>
      <c r="K438" t="s">
        <v>18</v>
      </c>
      <c r="L438" t="s">
        <v>33</v>
      </c>
    </row>
    <row r="439" spans="1:12" x14ac:dyDescent="0.35">
      <c r="A439" t="s">
        <v>108</v>
      </c>
      <c r="B439" s="4">
        <v>45434</v>
      </c>
      <c r="C439" t="s">
        <v>46</v>
      </c>
      <c r="D439" t="s">
        <v>56</v>
      </c>
      <c r="E439" t="s">
        <v>23</v>
      </c>
      <c r="F439" t="s">
        <v>92</v>
      </c>
      <c r="G439" t="s">
        <v>109</v>
      </c>
      <c r="H439">
        <v>2930.27</v>
      </c>
      <c r="I439">
        <v>945.57</v>
      </c>
      <c r="J439">
        <v>4</v>
      </c>
      <c r="K439" t="s">
        <v>18</v>
      </c>
      <c r="L439" t="s">
        <v>58</v>
      </c>
    </row>
    <row r="440" spans="1:12" x14ac:dyDescent="0.35">
      <c r="A440" t="s">
        <v>693</v>
      </c>
      <c r="B440" s="4">
        <v>45612</v>
      </c>
      <c r="C440" t="s">
        <v>13</v>
      </c>
      <c r="D440" t="s">
        <v>29</v>
      </c>
      <c r="E440" t="s">
        <v>51</v>
      </c>
      <c r="F440" t="s">
        <v>52</v>
      </c>
      <c r="G440" t="s">
        <v>201</v>
      </c>
      <c r="H440">
        <v>2920.37</v>
      </c>
      <c r="I440">
        <v>928.81</v>
      </c>
      <c r="J440">
        <v>2</v>
      </c>
      <c r="K440" t="s">
        <v>32</v>
      </c>
      <c r="L440" t="s">
        <v>78</v>
      </c>
    </row>
    <row r="441" spans="1:12" x14ac:dyDescent="0.35">
      <c r="A441" t="s">
        <v>524</v>
      </c>
      <c r="B441" s="4">
        <v>45655</v>
      </c>
      <c r="C441" t="s">
        <v>13</v>
      </c>
      <c r="D441" t="s">
        <v>29</v>
      </c>
      <c r="E441" t="s">
        <v>51</v>
      </c>
      <c r="F441" t="s">
        <v>74</v>
      </c>
      <c r="G441" t="s">
        <v>267</v>
      </c>
      <c r="H441">
        <v>2917.48</v>
      </c>
      <c r="I441">
        <v>804.12</v>
      </c>
      <c r="J441">
        <v>8</v>
      </c>
      <c r="K441" t="s">
        <v>26</v>
      </c>
      <c r="L441" t="s">
        <v>27</v>
      </c>
    </row>
    <row r="442" spans="1:12" x14ac:dyDescent="0.35">
      <c r="A442" t="s">
        <v>1070</v>
      </c>
      <c r="B442" s="4">
        <v>45302</v>
      </c>
      <c r="C442" t="s">
        <v>35</v>
      </c>
      <c r="D442" t="s">
        <v>36</v>
      </c>
      <c r="E442" t="s">
        <v>23</v>
      </c>
      <c r="F442" t="s">
        <v>92</v>
      </c>
      <c r="G442" t="s">
        <v>441</v>
      </c>
      <c r="H442">
        <v>2914.93</v>
      </c>
      <c r="I442">
        <v>340.43</v>
      </c>
      <c r="J442">
        <v>3</v>
      </c>
      <c r="K442" t="s">
        <v>26</v>
      </c>
      <c r="L442" t="s">
        <v>61</v>
      </c>
    </row>
    <row r="443" spans="1:12" x14ac:dyDescent="0.35">
      <c r="A443" t="s">
        <v>523</v>
      </c>
      <c r="B443" s="4">
        <v>45479</v>
      </c>
      <c r="C443" t="s">
        <v>46</v>
      </c>
      <c r="D443" t="s">
        <v>89</v>
      </c>
      <c r="E443" t="s">
        <v>15</v>
      </c>
      <c r="F443" t="s">
        <v>30</v>
      </c>
      <c r="G443" t="s">
        <v>271</v>
      </c>
      <c r="H443">
        <v>2914.77</v>
      </c>
      <c r="I443">
        <v>617.87</v>
      </c>
      <c r="J443">
        <v>4</v>
      </c>
      <c r="K443" t="s">
        <v>26</v>
      </c>
      <c r="L443" t="s">
        <v>78</v>
      </c>
    </row>
    <row r="444" spans="1:12" x14ac:dyDescent="0.35">
      <c r="A444" t="s">
        <v>629</v>
      </c>
      <c r="B444" s="4">
        <v>45398</v>
      </c>
      <c r="C444" t="s">
        <v>21</v>
      </c>
      <c r="D444" t="s">
        <v>22</v>
      </c>
      <c r="E444" t="s">
        <v>23</v>
      </c>
      <c r="F444" t="s">
        <v>69</v>
      </c>
      <c r="G444" t="s">
        <v>253</v>
      </c>
      <c r="H444">
        <v>2914.03</v>
      </c>
      <c r="I444">
        <v>462.1</v>
      </c>
      <c r="J444">
        <v>7</v>
      </c>
      <c r="K444" t="s">
        <v>26</v>
      </c>
      <c r="L444" t="s">
        <v>78</v>
      </c>
    </row>
    <row r="445" spans="1:12" x14ac:dyDescent="0.35">
      <c r="A445" t="s">
        <v>216</v>
      </c>
      <c r="B445" s="4">
        <v>45337</v>
      </c>
      <c r="C445" t="s">
        <v>46</v>
      </c>
      <c r="D445" t="s">
        <v>47</v>
      </c>
      <c r="E445" t="s">
        <v>15</v>
      </c>
      <c r="F445" t="s">
        <v>40</v>
      </c>
      <c r="G445" t="s">
        <v>41</v>
      </c>
      <c r="H445">
        <v>2913.85</v>
      </c>
      <c r="I445">
        <v>836.24</v>
      </c>
      <c r="J445">
        <v>7</v>
      </c>
      <c r="K445" t="s">
        <v>32</v>
      </c>
      <c r="L445" t="s">
        <v>61</v>
      </c>
    </row>
    <row r="446" spans="1:12" x14ac:dyDescent="0.35">
      <c r="A446" t="s">
        <v>792</v>
      </c>
      <c r="B446" s="4">
        <v>45442</v>
      </c>
      <c r="C446" t="s">
        <v>13</v>
      </c>
      <c r="D446" t="s">
        <v>14</v>
      </c>
      <c r="E446" t="s">
        <v>23</v>
      </c>
      <c r="F446" t="s">
        <v>92</v>
      </c>
      <c r="G446" t="s">
        <v>482</v>
      </c>
      <c r="H446">
        <v>2899.49</v>
      </c>
      <c r="I446">
        <v>987.64</v>
      </c>
      <c r="J446">
        <v>1</v>
      </c>
      <c r="K446" t="s">
        <v>18</v>
      </c>
      <c r="L446" t="s">
        <v>42</v>
      </c>
    </row>
    <row r="447" spans="1:12" x14ac:dyDescent="0.35">
      <c r="A447" t="s">
        <v>1066</v>
      </c>
      <c r="B447" s="4">
        <v>45636</v>
      </c>
      <c r="C447" t="s">
        <v>46</v>
      </c>
      <c r="D447" t="s">
        <v>56</v>
      </c>
      <c r="E447" t="s">
        <v>23</v>
      </c>
      <c r="F447" t="s">
        <v>69</v>
      </c>
      <c r="G447" t="s">
        <v>465</v>
      </c>
      <c r="H447">
        <v>2894.36</v>
      </c>
      <c r="I447">
        <v>380.62</v>
      </c>
      <c r="J447">
        <v>8</v>
      </c>
      <c r="K447" t="s">
        <v>32</v>
      </c>
      <c r="L447" t="s">
        <v>54</v>
      </c>
    </row>
    <row r="448" spans="1:12" x14ac:dyDescent="0.35">
      <c r="A448" t="s">
        <v>480</v>
      </c>
      <c r="B448" s="4">
        <v>45325</v>
      </c>
      <c r="C448" t="s">
        <v>21</v>
      </c>
      <c r="D448" t="s">
        <v>65</v>
      </c>
      <c r="E448" t="s">
        <v>51</v>
      </c>
      <c r="F448" t="s">
        <v>66</v>
      </c>
      <c r="G448" t="s">
        <v>224</v>
      </c>
      <c r="H448">
        <v>2877.97</v>
      </c>
      <c r="I448">
        <v>252.46</v>
      </c>
      <c r="J448">
        <v>2</v>
      </c>
      <c r="K448" t="s">
        <v>26</v>
      </c>
      <c r="L448" t="s">
        <v>42</v>
      </c>
    </row>
    <row r="449" spans="1:12" x14ac:dyDescent="0.35">
      <c r="A449" t="s">
        <v>873</v>
      </c>
      <c r="B449" s="4">
        <v>45390</v>
      </c>
      <c r="C449" t="s">
        <v>46</v>
      </c>
      <c r="D449" t="s">
        <v>89</v>
      </c>
      <c r="E449" t="s">
        <v>51</v>
      </c>
      <c r="F449" t="s">
        <v>66</v>
      </c>
      <c r="G449" t="s">
        <v>224</v>
      </c>
      <c r="H449">
        <v>2874.27</v>
      </c>
      <c r="I449">
        <v>715.43</v>
      </c>
      <c r="J449">
        <v>6</v>
      </c>
      <c r="K449" t="s">
        <v>18</v>
      </c>
      <c r="L449" t="s">
        <v>78</v>
      </c>
    </row>
    <row r="450" spans="1:12" x14ac:dyDescent="0.35">
      <c r="A450" t="s">
        <v>515</v>
      </c>
      <c r="B450" s="4">
        <v>45380</v>
      </c>
      <c r="C450" t="s">
        <v>13</v>
      </c>
      <c r="D450" t="s">
        <v>82</v>
      </c>
      <c r="E450" t="s">
        <v>23</v>
      </c>
      <c r="F450" t="s">
        <v>24</v>
      </c>
      <c r="G450" t="s">
        <v>158</v>
      </c>
      <c r="H450">
        <v>2870.33</v>
      </c>
      <c r="I450">
        <v>254.04</v>
      </c>
      <c r="J450">
        <v>6</v>
      </c>
      <c r="K450" t="s">
        <v>26</v>
      </c>
      <c r="L450" t="s">
        <v>19</v>
      </c>
    </row>
    <row r="451" spans="1:12" x14ac:dyDescent="0.35">
      <c r="A451" t="s">
        <v>494</v>
      </c>
      <c r="B451" s="4">
        <v>45414</v>
      </c>
      <c r="C451" t="s">
        <v>21</v>
      </c>
      <c r="D451" t="s">
        <v>22</v>
      </c>
      <c r="E451" t="s">
        <v>15</v>
      </c>
      <c r="F451" t="s">
        <v>40</v>
      </c>
      <c r="G451" t="s">
        <v>163</v>
      </c>
      <c r="H451">
        <v>2855.7</v>
      </c>
      <c r="I451">
        <v>286.27999999999997</v>
      </c>
      <c r="J451">
        <v>2</v>
      </c>
      <c r="K451" t="s">
        <v>32</v>
      </c>
      <c r="L451" t="s">
        <v>78</v>
      </c>
    </row>
    <row r="452" spans="1:12" x14ac:dyDescent="0.35">
      <c r="A452" t="s">
        <v>583</v>
      </c>
      <c r="B452" s="4">
        <v>45612</v>
      </c>
      <c r="C452" t="s">
        <v>21</v>
      </c>
      <c r="D452" t="s">
        <v>65</v>
      </c>
      <c r="E452" t="s">
        <v>15</v>
      </c>
      <c r="F452" t="s">
        <v>16</v>
      </c>
      <c r="G452" t="s">
        <v>449</v>
      </c>
      <c r="H452">
        <v>2853.18</v>
      </c>
      <c r="I452">
        <v>579.66</v>
      </c>
      <c r="J452">
        <v>10</v>
      </c>
      <c r="K452" t="s">
        <v>26</v>
      </c>
      <c r="L452" t="s">
        <v>33</v>
      </c>
    </row>
    <row r="453" spans="1:12" x14ac:dyDescent="0.35">
      <c r="A453" t="s">
        <v>837</v>
      </c>
      <c r="B453" s="4">
        <v>45399</v>
      </c>
      <c r="C453" t="s">
        <v>35</v>
      </c>
      <c r="D453" t="s">
        <v>39</v>
      </c>
      <c r="E453" t="s">
        <v>15</v>
      </c>
      <c r="F453" t="s">
        <v>16</v>
      </c>
      <c r="G453" t="s">
        <v>17</v>
      </c>
      <c r="H453">
        <v>2846.42</v>
      </c>
      <c r="I453">
        <v>515.70000000000005</v>
      </c>
      <c r="J453">
        <v>3</v>
      </c>
      <c r="K453" t="s">
        <v>26</v>
      </c>
      <c r="L453" t="s">
        <v>61</v>
      </c>
    </row>
    <row r="454" spans="1:12" x14ac:dyDescent="0.35">
      <c r="A454" t="s">
        <v>469</v>
      </c>
      <c r="B454" s="4">
        <v>45526</v>
      </c>
      <c r="C454" t="s">
        <v>21</v>
      </c>
      <c r="D454" t="s">
        <v>65</v>
      </c>
      <c r="E454" t="s">
        <v>51</v>
      </c>
      <c r="F454" t="s">
        <v>52</v>
      </c>
      <c r="G454" t="s">
        <v>60</v>
      </c>
      <c r="H454">
        <v>2844.78</v>
      </c>
      <c r="I454">
        <v>371.41</v>
      </c>
      <c r="J454">
        <v>3</v>
      </c>
      <c r="K454" t="s">
        <v>32</v>
      </c>
      <c r="L454" t="s">
        <v>58</v>
      </c>
    </row>
    <row r="455" spans="1:12" x14ac:dyDescent="0.35">
      <c r="A455" t="s">
        <v>844</v>
      </c>
      <c r="B455" s="4">
        <v>45515</v>
      </c>
      <c r="C455" t="s">
        <v>35</v>
      </c>
      <c r="D455" t="s">
        <v>50</v>
      </c>
      <c r="E455" t="s">
        <v>51</v>
      </c>
      <c r="F455" t="s">
        <v>74</v>
      </c>
      <c r="G455" t="s">
        <v>132</v>
      </c>
      <c r="H455">
        <v>2844.21</v>
      </c>
      <c r="I455">
        <v>882.44</v>
      </c>
      <c r="J455">
        <v>2</v>
      </c>
      <c r="K455" t="s">
        <v>18</v>
      </c>
      <c r="L455" t="s">
        <v>54</v>
      </c>
    </row>
    <row r="456" spans="1:12" x14ac:dyDescent="0.35">
      <c r="A456" t="s">
        <v>361</v>
      </c>
      <c r="B456" s="4">
        <v>45501</v>
      </c>
      <c r="C456" t="s">
        <v>46</v>
      </c>
      <c r="D456" t="s">
        <v>47</v>
      </c>
      <c r="E456" t="s">
        <v>51</v>
      </c>
      <c r="F456" t="s">
        <v>66</v>
      </c>
      <c r="G456" t="s">
        <v>362</v>
      </c>
      <c r="H456">
        <v>2824.21</v>
      </c>
      <c r="I456">
        <v>427.49</v>
      </c>
      <c r="J456">
        <v>1</v>
      </c>
      <c r="K456" t="s">
        <v>32</v>
      </c>
      <c r="L456" t="s">
        <v>33</v>
      </c>
    </row>
    <row r="457" spans="1:12" x14ac:dyDescent="0.35">
      <c r="A457" t="s">
        <v>1201</v>
      </c>
      <c r="B457" s="4">
        <v>45509</v>
      </c>
      <c r="C457" t="s">
        <v>35</v>
      </c>
      <c r="D457" t="s">
        <v>39</v>
      </c>
      <c r="E457" t="s">
        <v>15</v>
      </c>
      <c r="F457" t="s">
        <v>30</v>
      </c>
      <c r="G457" t="s">
        <v>379</v>
      </c>
      <c r="H457">
        <v>2823.25</v>
      </c>
      <c r="I457">
        <v>499.5</v>
      </c>
      <c r="J457">
        <v>4</v>
      </c>
      <c r="K457" t="s">
        <v>26</v>
      </c>
      <c r="L457" t="s">
        <v>19</v>
      </c>
    </row>
    <row r="458" spans="1:12" x14ac:dyDescent="0.35">
      <c r="A458" t="s">
        <v>1092</v>
      </c>
      <c r="B458" s="4">
        <v>45365</v>
      </c>
      <c r="C458" t="s">
        <v>35</v>
      </c>
      <c r="D458" t="s">
        <v>36</v>
      </c>
      <c r="E458" t="s">
        <v>51</v>
      </c>
      <c r="F458" t="s">
        <v>74</v>
      </c>
      <c r="G458" t="s">
        <v>210</v>
      </c>
      <c r="H458">
        <v>2818.73</v>
      </c>
      <c r="I458">
        <v>874.48</v>
      </c>
      <c r="J458">
        <v>1</v>
      </c>
      <c r="K458" t="s">
        <v>18</v>
      </c>
      <c r="L458" t="s">
        <v>27</v>
      </c>
    </row>
    <row r="459" spans="1:12" x14ac:dyDescent="0.35">
      <c r="A459" t="s">
        <v>955</v>
      </c>
      <c r="B459" s="4">
        <v>45435</v>
      </c>
      <c r="C459" t="s">
        <v>21</v>
      </c>
      <c r="D459" t="s">
        <v>134</v>
      </c>
      <c r="E459" t="s">
        <v>51</v>
      </c>
      <c r="F459" t="s">
        <v>66</v>
      </c>
      <c r="G459" t="s">
        <v>343</v>
      </c>
      <c r="H459">
        <v>2792.76</v>
      </c>
      <c r="I459">
        <v>576.36</v>
      </c>
      <c r="J459">
        <v>2</v>
      </c>
      <c r="K459" t="s">
        <v>26</v>
      </c>
      <c r="L459" t="s">
        <v>61</v>
      </c>
    </row>
    <row r="460" spans="1:12" x14ac:dyDescent="0.35">
      <c r="A460" t="s">
        <v>611</v>
      </c>
      <c r="B460" s="4">
        <v>45368</v>
      </c>
      <c r="C460" t="s">
        <v>46</v>
      </c>
      <c r="D460" t="s">
        <v>56</v>
      </c>
      <c r="E460" t="s">
        <v>51</v>
      </c>
      <c r="F460" t="s">
        <v>74</v>
      </c>
      <c r="G460" t="s">
        <v>251</v>
      </c>
      <c r="H460">
        <v>2789.22</v>
      </c>
      <c r="I460">
        <v>475.28</v>
      </c>
      <c r="J460">
        <v>8</v>
      </c>
      <c r="K460" t="s">
        <v>18</v>
      </c>
      <c r="L460" t="s">
        <v>27</v>
      </c>
    </row>
    <row r="461" spans="1:12" x14ac:dyDescent="0.35">
      <c r="A461" t="s">
        <v>315</v>
      </c>
      <c r="B461" s="4">
        <v>45375</v>
      </c>
      <c r="C461" t="s">
        <v>35</v>
      </c>
      <c r="D461" t="s">
        <v>36</v>
      </c>
      <c r="E461" t="s">
        <v>51</v>
      </c>
      <c r="F461" t="s">
        <v>52</v>
      </c>
      <c r="G461" t="s">
        <v>316</v>
      </c>
      <c r="H461">
        <v>2787.83</v>
      </c>
      <c r="I461">
        <v>210.38</v>
      </c>
      <c r="J461">
        <v>4</v>
      </c>
      <c r="K461" t="s">
        <v>32</v>
      </c>
      <c r="L461" t="s">
        <v>61</v>
      </c>
    </row>
    <row r="462" spans="1:12" x14ac:dyDescent="0.35">
      <c r="A462" t="s">
        <v>623</v>
      </c>
      <c r="B462" s="4">
        <v>45323</v>
      </c>
      <c r="C462" t="s">
        <v>13</v>
      </c>
      <c r="D462" t="s">
        <v>14</v>
      </c>
      <c r="E462" t="s">
        <v>51</v>
      </c>
      <c r="F462" t="s">
        <v>66</v>
      </c>
      <c r="G462" t="s">
        <v>173</v>
      </c>
      <c r="H462">
        <v>2785.84</v>
      </c>
      <c r="I462">
        <v>880.73</v>
      </c>
      <c r="J462">
        <v>1</v>
      </c>
      <c r="K462" t="s">
        <v>32</v>
      </c>
      <c r="L462" t="s">
        <v>54</v>
      </c>
    </row>
    <row r="463" spans="1:12" x14ac:dyDescent="0.35">
      <c r="A463" t="s">
        <v>260</v>
      </c>
      <c r="B463" s="4">
        <v>45655</v>
      </c>
      <c r="C463" t="s">
        <v>46</v>
      </c>
      <c r="D463" t="s">
        <v>89</v>
      </c>
      <c r="E463" t="s">
        <v>15</v>
      </c>
      <c r="F463" t="s">
        <v>40</v>
      </c>
      <c r="G463" t="s">
        <v>127</v>
      </c>
      <c r="H463">
        <v>2771.3</v>
      </c>
      <c r="I463">
        <v>553.28</v>
      </c>
      <c r="J463">
        <v>6</v>
      </c>
      <c r="K463" t="s">
        <v>32</v>
      </c>
      <c r="L463" t="s">
        <v>78</v>
      </c>
    </row>
    <row r="464" spans="1:12" x14ac:dyDescent="0.35">
      <c r="A464" t="s">
        <v>207</v>
      </c>
      <c r="B464" s="4">
        <v>45594</v>
      </c>
      <c r="C464" t="s">
        <v>46</v>
      </c>
      <c r="D464" t="s">
        <v>56</v>
      </c>
      <c r="E464" t="s">
        <v>23</v>
      </c>
      <c r="F464" t="s">
        <v>69</v>
      </c>
      <c r="G464" t="s">
        <v>208</v>
      </c>
      <c r="H464">
        <v>2770.61</v>
      </c>
      <c r="I464">
        <v>483.42</v>
      </c>
      <c r="J464">
        <v>2</v>
      </c>
      <c r="K464" t="s">
        <v>26</v>
      </c>
      <c r="L464" t="s">
        <v>42</v>
      </c>
    </row>
    <row r="465" spans="1:12" x14ac:dyDescent="0.35">
      <c r="A465" t="s">
        <v>1012</v>
      </c>
      <c r="B465" s="4">
        <v>45330</v>
      </c>
      <c r="C465" t="s">
        <v>35</v>
      </c>
      <c r="D465" t="s">
        <v>50</v>
      </c>
      <c r="E465" t="s">
        <v>51</v>
      </c>
      <c r="F465" t="s">
        <v>52</v>
      </c>
      <c r="G465" t="s">
        <v>140</v>
      </c>
      <c r="H465">
        <v>2769.02</v>
      </c>
      <c r="I465">
        <v>199.74</v>
      </c>
      <c r="J465">
        <v>4</v>
      </c>
      <c r="K465" t="s">
        <v>18</v>
      </c>
      <c r="L465" t="s">
        <v>58</v>
      </c>
    </row>
    <row r="466" spans="1:12" x14ac:dyDescent="0.35">
      <c r="A466" t="s">
        <v>364</v>
      </c>
      <c r="B466" s="4">
        <v>45477</v>
      </c>
      <c r="C466" t="s">
        <v>21</v>
      </c>
      <c r="D466" t="s">
        <v>22</v>
      </c>
      <c r="E466" t="s">
        <v>23</v>
      </c>
      <c r="F466" t="s">
        <v>69</v>
      </c>
      <c r="G466" t="s">
        <v>365</v>
      </c>
      <c r="H466">
        <v>2767.12</v>
      </c>
      <c r="I466">
        <v>793.54</v>
      </c>
      <c r="J466">
        <v>7</v>
      </c>
      <c r="K466" t="s">
        <v>18</v>
      </c>
      <c r="L466" t="s">
        <v>58</v>
      </c>
    </row>
    <row r="467" spans="1:12" x14ac:dyDescent="0.35">
      <c r="A467" t="s">
        <v>389</v>
      </c>
      <c r="B467" s="4">
        <v>45440</v>
      </c>
      <c r="C467" t="s">
        <v>13</v>
      </c>
      <c r="D467" t="s">
        <v>14</v>
      </c>
      <c r="E467" t="s">
        <v>23</v>
      </c>
      <c r="F467" t="s">
        <v>69</v>
      </c>
      <c r="G467" t="s">
        <v>253</v>
      </c>
      <c r="H467">
        <v>2762.84</v>
      </c>
      <c r="I467">
        <v>175.2</v>
      </c>
      <c r="J467">
        <v>6</v>
      </c>
      <c r="K467" t="s">
        <v>32</v>
      </c>
      <c r="L467" t="s">
        <v>58</v>
      </c>
    </row>
    <row r="468" spans="1:12" x14ac:dyDescent="0.35">
      <c r="A468" t="s">
        <v>836</v>
      </c>
      <c r="B468" s="4">
        <v>45551</v>
      </c>
      <c r="C468" t="s">
        <v>13</v>
      </c>
      <c r="D468" t="s">
        <v>82</v>
      </c>
      <c r="E468" t="s">
        <v>15</v>
      </c>
      <c r="F468" t="s">
        <v>16</v>
      </c>
      <c r="G468" t="s">
        <v>136</v>
      </c>
      <c r="H468">
        <v>2760.27</v>
      </c>
      <c r="I468">
        <v>961.02</v>
      </c>
      <c r="J468">
        <v>4</v>
      </c>
      <c r="K468" t="s">
        <v>26</v>
      </c>
      <c r="L468" t="s">
        <v>61</v>
      </c>
    </row>
    <row r="469" spans="1:12" x14ac:dyDescent="0.35">
      <c r="A469" t="s">
        <v>624</v>
      </c>
      <c r="B469" s="4">
        <v>45322</v>
      </c>
      <c r="C469" t="s">
        <v>21</v>
      </c>
      <c r="D469" t="s">
        <v>134</v>
      </c>
      <c r="E469" t="s">
        <v>23</v>
      </c>
      <c r="F469" t="s">
        <v>24</v>
      </c>
      <c r="G469" t="s">
        <v>586</v>
      </c>
      <c r="H469">
        <v>2759.27</v>
      </c>
      <c r="I469">
        <v>372.49</v>
      </c>
      <c r="J469">
        <v>5</v>
      </c>
      <c r="K469" t="s">
        <v>18</v>
      </c>
      <c r="L469" t="s">
        <v>54</v>
      </c>
    </row>
    <row r="470" spans="1:12" x14ac:dyDescent="0.35">
      <c r="A470" t="s">
        <v>356</v>
      </c>
      <c r="B470" s="4">
        <v>45303</v>
      </c>
      <c r="C470" t="s">
        <v>21</v>
      </c>
      <c r="D470" t="s">
        <v>134</v>
      </c>
      <c r="E470" t="s">
        <v>23</v>
      </c>
      <c r="F470" t="s">
        <v>92</v>
      </c>
      <c r="G470" t="s">
        <v>129</v>
      </c>
      <c r="H470">
        <v>2753.34</v>
      </c>
      <c r="I470">
        <v>513.97</v>
      </c>
      <c r="J470">
        <v>9</v>
      </c>
      <c r="K470" t="s">
        <v>26</v>
      </c>
      <c r="L470" t="s">
        <v>58</v>
      </c>
    </row>
    <row r="471" spans="1:12" x14ac:dyDescent="0.35">
      <c r="A471" t="s">
        <v>391</v>
      </c>
      <c r="B471" s="4">
        <v>45458</v>
      </c>
      <c r="C471" t="s">
        <v>46</v>
      </c>
      <c r="D471" t="s">
        <v>47</v>
      </c>
      <c r="E471" t="s">
        <v>15</v>
      </c>
      <c r="F471" t="s">
        <v>16</v>
      </c>
      <c r="G471" t="s">
        <v>269</v>
      </c>
      <c r="H471">
        <v>2745.89</v>
      </c>
      <c r="I471">
        <v>337</v>
      </c>
      <c r="J471">
        <v>9</v>
      </c>
      <c r="K471" t="s">
        <v>26</v>
      </c>
      <c r="L471" t="s">
        <v>27</v>
      </c>
    </row>
    <row r="472" spans="1:12" x14ac:dyDescent="0.35">
      <c r="A472" t="s">
        <v>99</v>
      </c>
      <c r="B472" s="4">
        <v>45449</v>
      </c>
      <c r="C472" t="s">
        <v>21</v>
      </c>
      <c r="D472" t="s">
        <v>65</v>
      </c>
      <c r="E472" t="s">
        <v>23</v>
      </c>
      <c r="F472" t="s">
        <v>92</v>
      </c>
      <c r="G472" t="s">
        <v>100</v>
      </c>
      <c r="H472">
        <v>2741.08</v>
      </c>
      <c r="I472">
        <v>518.94000000000005</v>
      </c>
      <c r="J472">
        <v>8</v>
      </c>
      <c r="K472" t="s">
        <v>18</v>
      </c>
      <c r="L472" t="s">
        <v>42</v>
      </c>
    </row>
    <row r="473" spans="1:12" x14ac:dyDescent="0.35">
      <c r="A473" t="s">
        <v>560</v>
      </c>
      <c r="B473" s="4">
        <v>45434</v>
      </c>
      <c r="C473" t="s">
        <v>46</v>
      </c>
      <c r="D473" t="s">
        <v>47</v>
      </c>
      <c r="E473" t="s">
        <v>15</v>
      </c>
      <c r="F473" t="s">
        <v>16</v>
      </c>
      <c r="G473" t="s">
        <v>181</v>
      </c>
      <c r="H473">
        <v>2740.91</v>
      </c>
      <c r="I473">
        <v>580.73</v>
      </c>
      <c r="J473">
        <v>5</v>
      </c>
      <c r="K473" t="s">
        <v>18</v>
      </c>
      <c r="L473" t="s">
        <v>58</v>
      </c>
    </row>
    <row r="474" spans="1:12" x14ac:dyDescent="0.35">
      <c r="A474" t="s">
        <v>328</v>
      </c>
      <c r="B474" s="4">
        <v>45433</v>
      </c>
      <c r="C474" t="s">
        <v>46</v>
      </c>
      <c r="D474" t="s">
        <v>89</v>
      </c>
      <c r="E474" t="s">
        <v>23</v>
      </c>
      <c r="F474" t="s">
        <v>24</v>
      </c>
      <c r="G474" t="s">
        <v>329</v>
      </c>
      <c r="H474">
        <v>2739.57</v>
      </c>
      <c r="I474">
        <v>483.1</v>
      </c>
      <c r="J474">
        <v>3</v>
      </c>
      <c r="K474" t="s">
        <v>32</v>
      </c>
      <c r="L474" t="s">
        <v>33</v>
      </c>
    </row>
    <row r="475" spans="1:12" x14ac:dyDescent="0.35">
      <c r="A475" t="s">
        <v>484</v>
      </c>
      <c r="B475" s="4">
        <v>45293</v>
      </c>
      <c r="C475" t="s">
        <v>35</v>
      </c>
      <c r="D475" t="s">
        <v>36</v>
      </c>
      <c r="E475" t="s">
        <v>15</v>
      </c>
      <c r="F475" t="s">
        <v>16</v>
      </c>
      <c r="G475" t="s">
        <v>284</v>
      </c>
      <c r="H475">
        <v>2735.75</v>
      </c>
      <c r="I475">
        <v>278.33</v>
      </c>
      <c r="J475">
        <v>3</v>
      </c>
      <c r="K475" t="s">
        <v>32</v>
      </c>
      <c r="L475" t="s">
        <v>27</v>
      </c>
    </row>
    <row r="476" spans="1:12" x14ac:dyDescent="0.35">
      <c r="A476" t="s">
        <v>261</v>
      </c>
      <c r="B476" s="4">
        <v>45570</v>
      </c>
      <c r="C476" t="s">
        <v>13</v>
      </c>
      <c r="D476" t="s">
        <v>82</v>
      </c>
      <c r="E476" t="s">
        <v>23</v>
      </c>
      <c r="F476" t="s">
        <v>92</v>
      </c>
      <c r="G476" t="s">
        <v>262</v>
      </c>
      <c r="H476">
        <v>2726.94</v>
      </c>
      <c r="I476">
        <v>824.73</v>
      </c>
      <c r="J476">
        <v>3</v>
      </c>
      <c r="K476" t="s">
        <v>26</v>
      </c>
      <c r="L476" t="s">
        <v>78</v>
      </c>
    </row>
    <row r="477" spans="1:12" x14ac:dyDescent="0.35">
      <c r="A477" t="s">
        <v>895</v>
      </c>
      <c r="B477" s="4">
        <v>45578</v>
      </c>
      <c r="C477" t="s">
        <v>13</v>
      </c>
      <c r="D477" t="s">
        <v>29</v>
      </c>
      <c r="E477" t="s">
        <v>15</v>
      </c>
      <c r="F477" t="s">
        <v>16</v>
      </c>
      <c r="G477" t="s">
        <v>215</v>
      </c>
      <c r="H477">
        <v>2724.89</v>
      </c>
      <c r="I477">
        <v>776.7</v>
      </c>
      <c r="J477">
        <v>10</v>
      </c>
      <c r="K477" t="s">
        <v>26</v>
      </c>
      <c r="L477" t="s">
        <v>61</v>
      </c>
    </row>
    <row r="478" spans="1:12" x14ac:dyDescent="0.35">
      <c r="A478" t="s">
        <v>764</v>
      </c>
      <c r="B478" s="4">
        <v>45307</v>
      </c>
      <c r="C478" t="s">
        <v>13</v>
      </c>
      <c r="D478" t="s">
        <v>29</v>
      </c>
      <c r="E478" t="s">
        <v>51</v>
      </c>
      <c r="F478" t="s">
        <v>66</v>
      </c>
      <c r="G478" t="s">
        <v>396</v>
      </c>
      <c r="H478">
        <v>2717.11</v>
      </c>
      <c r="I478">
        <v>694.7</v>
      </c>
      <c r="J478">
        <v>3</v>
      </c>
      <c r="K478" t="s">
        <v>26</v>
      </c>
      <c r="L478" t="s">
        <v>61</v>
      </c>
    </row>
    <row r="479" spans="1:12" x14ac:dyDescent="0.35">
      <c r="A479" t="s">
        <v>43</v>
      </c>
      <c r="B479" s="4">
        <v>45477</v>
      </c>
      <c r="C479" t="s">
        <v>13</v>
      </c>
      <c r="D479" t="s">
        <v>14</v>
      </c>
      <c r="E479" t="s">
        <v>15</v>
      </c>
      <c r="F479" t="s">
        <v>40</v>
      </c>
      <c r="G479" t="s">
        <v>44</v>
      </c>
      <c r="H479">
        <v>2715.78</v>
      </c>
      <c r="I479">
        <v>344.36</v>
      </c>
      <c r="J479">
        <v>10</v>
      </c>
      <c r="K479" t="s">
        <v>26</v>
      </c>
      <c r="L479" t="s">
        <v>19</v>
      </c>
    </row>
    <row r="480" spans="1:12" x14ac:dyDescent="0.35">
      <c r="A480" t="s">
        <v>1075</v>
      </c>
      <c r="B480" s="4">
        <v>45549</v>
      </c>
      <c r="C480" t="s">
        <v>46</v>
      </c>
      <c r="D480" t="s">
        <v>56</v>
      </c>
      <c r="E480" t="s">
        <v>51</v>
      </c>
      <c r="F480" t="s">
        <v>74</v>
      </c>
      <c r="G480" t="s">
        <v>267</v>
      </c>
      <c r="H480">
        <v>2713</v>
      </c>
      <c r="I480">
        <v>815.86</v>
      </c>
      <c r="J480">
        <v>4</v>
      </c>
      <c r="K480" t="s">
        <v>26</v>
      </c>
      <c r="L480" t="s">
        <v>54</v>
      </c>
    </row>
    <row r="481" spans="1:12" x14ac:dyDescent="0.35">
      <c r="A481" t="s">
        <v>293</v>
      </c>
      <c r="B481" s="4">
        <v>45542</v>
      </c>
      <c r="C481" t="s">
        <v>46</v>
      </c>
      <c r="D481" t="s">
        <v>89</v>
      </c>
      <c r="E481" t="s">
        <v>51</v>
      </c>
      <c r="F481" t="s">
        <v>74</v>
      </c>
      <c r="G481" t="s">
        <v>294</v>
      </c>
      <c r="H481">
        <v>2711.18</v>
      </c>
      <c r="I481">
        <v>772.13</v>
      </c>
      <c r="J481">
        <v>9</v>
      </c>
      <c r="K481" t="s">
        <v>18</v>
      </c>
      <c r="L481" t="s">
        <v>33</v>
      </c>
    </row>
    <row r="482" spans="1:12" x14ac:dyDescent="0.35">
      <c r="A482" t="s">
        <v>767</v>
      </c>
      <c r="B482" s="4">
        <v>45650</v>
      </c>
      <c r="C482" t="s">
        <v>46</v>
      </c>
      <c r="D482" t="s">
        <v>47</v>
      </c>
      <c r="E482" t="s">
        <v>15</v>
      </c>
      <c r="F482" t="s">
        <v>40</v>
      </c>
      <c r="G482" t="s">
        <v>197</v>
      </c>
      <c r="H482">
        <v>2710.35</v>
      </c>
      <c r="I482">
        <v>733.11</v>
      </c>
      <c r="J482">
        <v>4</v>
      </c>
      <c r="K482" t="s">
        <v>26</v>
      </c>
      <c r="L482" t="s">
        <v>58</v>
      </c>
    </row>
    <row r="483" spans="1:12" x14ac:dyDescent="0.35">
      <c r="A483" t="s">
        <v>1136</v>
      </c>
      <c r="B483" s="4">
        <v>45427</v>
      </c>
      <c r="C483" t="s">
        <v>35</v>
      </c>
      <c r="D483" t="s">
        <v>39</v>
      </c>
      <c r="E483" t="s">
        <v>23</v>
      </c>
      <c r="F483" t="s">
        <v>92</v>
      </c>
      <c r="G483" t="s">
        <v>872</v>
      </c>
      <c r="H483">
        <v>2704.78</v>
      </c>
      <c r="I483">
        <v>158.11000000000001</v>
      </c>
      <c r="J483">
        <v>7</v>
      </c>
      <c r="K483" t="s">
        <v>26</v>
      </c>
      <c r="L483" t="s">
        <v>61</v>
      </c>
    </row>
    <row r="484" spans="1:12" x14ac:dyDescent="0.35">
      <c r="A484" t="s">
        <v>824</v>
      </c>
      <c r="B484" s="4">
        <v>45554</v>
      </c>
      <c r="C484" t="s">
        <v>13</v>
      </c>
      <c r="D484" t="s">
        <v>29</v>
      </c>
      <c r="E484" t="s">
        <v>51</v>
      </c>
      <c r="F484" t="s">
        <v>66</v>
      </c>
      <c r="G484" t="s">
        <v>396</v>
      </c>
      <c r="H484">
        <v>2700.48</v>
      </c>
      <c r="I484">
        <v>636.58000000000004</v>
      </c>
      <c r="J484">
        <v>9</v>
      </c>
      <c r="K484" t="s">
        <v>32</v>
      </c>
      <c r="L484" t="s">
        <v>54</v>
      </c>
    </row>
    <row r="485" spans="1:12" x14ac:dyDescent="0.35">
      <c r="A485" t="s">
        <v>1215</v>
      </c>
      <c r="B485" s="4">
        <v>45487</v>
      </c>
      <c r="C485" t="s">
        <v>13</v>
      </c>
      <c r="D485" t="s">
        <v>82</v>
      </c>
      <c r="E485" t="s">
        <v>51</v>
      </c>
      <c r="F485" t="s">
        <v>74</v>
      </c>
      <c r="G485" t="s">
        <v>171</v>
      </c>
      <c r="H485">
        <v>2693.39</v>
      </c>
      <c r="I485">
        <v>648.55999999999995</v>
      </c>
      <c r="J485">
        <v>10</v>
      </c>
      <c r="K485" t="s">
        <v>32</v>
      </c>
      <c r="L485" t="s">
        <v>19</v>
      </c>
    </row>
    <row r="486" spans="1:12" x14ac:dyDescent="0.35">
      <c r="A486" t="s">
        <v>133</v>
      </c>
      <c r="B486" s="4">
        <v>45503</v>
      </c>
      <c r="C486" t="s">
        <v>21</v>
      </c>
      <c r="D486" t="s">
        <v>134</v>
      </c>
      <c r="E486" t="s">
        <v>15</v>
      </c>
      <c r="F486" t="s">
        <v>40</v>
      </c>
      <c r="G486" t="s">
        <v>127</v>
      </c>
      <c r="H486">
        <v>2692.6</v>
      </c>
      <c r="I486">
        <v>762.54</v>
      </c>
      <c r="J486">
        <v>8</v>
      </c>
      <c r="K486" t="s">
        <v>32</v>
      </c>
      <c r="L486" t="s">
        <v>58</v>
      </c>
    </row>
    <row r="487" spans="1:12" x14ac:dyDescent="0.35">
      <c r="A487" t="s">
        <v>530</v>
      </c>
      <c r="B487" s="4">
        <v>45449</v>
      </c>
      <c r="C487" t="s">
        <v>21</v>
      </c>
      <c r="D487" t="s">
        <v>134</v>
      </c>
      <c r="E487" t="s">
        <v>15</v>
      </c>
      <c r="F487" t="s">
        <v>30</v>
      </c>
      <c r="G487" t="s">
        <v>72</v>
      </c>
      <c r="H487">
        <v>2691.9</v>
      </c>
      <c r="I487">
        <v>577.47</v>
      </c>
      <c r="J487">
        <v>8</v>
      </c>
      <c r="K487" t="s">
        <v>26</v>
      </c>
      <c r="L487" t="s">
        <v>19</v>
      </c>
    </row>
    <row r="488" spans="1:12" x14ac:dyDescent="0.35">
      <c r="A488" t="s">
        <v>685</v>
      </c>
      <c r="B488" s="4">
        <v>45605</v>
      </c>
      <c r="C488" t="s">
        <v>35</v>
      </c>
      <c r="D488" t="s">
        <v>39</v>
      </c>
      <c r="E488" t="s">
        <v>15</v>
      </c>
      <c r="F488" t="s">
        <v>30</v>
      </c>
      <c r="G488" t="s">
        <v>489</v>
      </c>
      <c r="H488">
        <v>2684.93</v>
      </c>
      <c r="I488">
        <v>553.88</v>
      </c>
      <c r="J488">
        <v>4</v>
      </c>
      <c r="K488" t="s">
        <v>32</v>
      </c>
      <c r="L488" t="s">
        <v>61</v>
      </c>
    </row>
    <row r="489" spans="1:12" x14ac:dyDescent="0.35">
      <c r="A489" t="s">
        <v>1031</v>
      </c>
      <c r="B489" s="4">
        <v>45627</v>
      </c>
      <c r="C489" t="s">
        <v>13</v>
      </c>
      <c r="D489" t="s">
        <v>82</v>
      </c>
      <c r="E489" t="s">
        <v>15</v>
      </c>
      <c r="F489" t="s">
        <v>40</v>
      </c>
      <c r="G489" t="s">
        <v>672</v>
      </c>
      <c r="H489">
        <v>2669.93</v>
      </c>
      <c r="I489">
        <v>815.16</v>
      </c>
      <c r="J489">
        <v>3</v>
      </c>
      <c r="K489" t="s">
        <v>18</v>
      </c>
      <c r="L489" t="s">
        <v>33</v>
      </c>
    </row>
    <row r="490" spans="1:12" x14ac:dyDescent="0.35">
      <c r="A490" t="s">
        <v>763</v>
      </c>
      <c r="B490" s="4">
        <v>45622</v>
      </c>
      <c r="C490" t="s">
        <v>46</v>
      </c>
      <c r="D490" t="s">
        <v>56</v>
      </c>
      <c r="E490" t="s">
        <v>15</v>
      </c>
      <c r="F490" t="s">
        <v>16</v>
      </c>
      <c r="G490" t="s">
        <v>117</v>
      </c>
      <c r="H490">
        <v>2668.17</v>
      </c>
      <c r="I490">
        <v>477.12</v>
      </c>
      <c r="J490">
        <v>8</v>
      </c>
      <c r="K490" t="s">
        <v>18</v>
      </c>
      <c r="L490" t="s">
        <v>19</v>
      </c>
    </row>
    <row r="491" spans="1:12" x14ac:dyDescent="0.35">
      <c r="A491" t="s">
        <v>1030</v>
      </c>
      <c r="B491" s="4">
        <v>45492</v>
      </c>
      <c r="C491" t="s">
        <v>35</v>
      </c>
      <c r="D491" t="s">
        <v>39</v>
      </c>
      <c r="E491" t="s">
        <v>15</v>
      </c>
      <c r="F491" t="s">
        <v>16</v>
      </c>
      <c r="G491" t="s">
        <v>449</v>
      </c>
      <c r="H491">
        <v>2664.24</v>
      </c>
      <c r="I491">
        <v>596.44000000000005</v>
      </c>
      <c r="J491">
        <v>9</v>
      </c>
      <c r="K491" t="s">
        <v>32</v>
      </c>
      <c r="L491" t="s">
        <v>58</v>
      </c>
    </row>
    <row r="492" spans="1:12" x14ac:dyDescent="0.35">
      <c r="A492" t="s">
        <v>492</v>
      </c>
      <c r="B492" s="4">
        <v>45630</v>
      </c>
      <c r="C492" t="s">
        <v>35</v>
      </c>
      <c r="D492" t="s">
        <v>39</v>
      </c>
      <c r="E492" t="s">
        <v>15</v>
      </c>
      <c r="F492" t="s">
        <v>40</v>
      </c>
      <c r="G492" t="s">
        <v>399</v>
      </c>
      <c r="H492">
        <v>2657.48</v>
      </c>
      <c r="I492">
        <v>556.78</v>
      </c>
      <c r="J492">
        <v>8</v>
      </c>
      <c r="K492" t="s">
        <v>26</v>
      </c>
      <c r="L492" t="s">
        <v>78</v>
      </c>
    </row>
    <row r="493" spans="1:12" x14ac:dyDescent="0.35">
      <c r="A493" t="s">
        <v>1003</v>
      </c>
      <c r="B493" s="4">
        <v>45380</v>
      </c>
      <c r="C493" t="s">
        <v>13</v>
      </c>
      <c r="D493" t="s">
        <v>29</v>
      </c>
      <c r="E493" t="s">
        <v>51</v>
      </c>
      <c r="F493" t="s">
        <v>74</v>
      </c>
      <c r="G493" t="s">
        <v>580</v>
      </c>
      <c r="H493">
        <v>2653.59</v>
      </c>
      <c r="I493">
        <v>907.59</v>
      </c>
      <c r="J493">
        <v>5</v>
      </c>
      <c r="K493" t="s">
        <v>26</v>
      </c>
      <c r="L493" t="s">
        <v>19</v>
      </c>
    </row>
    <row r="494" spans="1:12" x14ac:dyDescent="0.35">
      <c r="A494" t="s">
        <v>178</v>
      </c>
      <c r="B494" s="4">
        <v>45419</v>
      </c>
      <c r="C494" t="s">
        <v>46</v>
      </c>
      <c r="D494" t="s">
        <v>89</v>
      </c>
      <c r="E494" t="s">
        <v>15</v>
      </c>
      <c r="F494" t="s">
        <v>16</v>
      </c>
      <c r="G494" t="s">
        <v>179</v>
      </c>
      <c r="H494">
        <v>2651.51</v>
      </c>
      <c r="I494">
        <v>838.39</v>
      </c>
      <c r="J494">
        <v>8</v>
      </c>
      <c r="K494" t="s">
        <v>18</v>
      </c>
      <c r="L494" t="s">
        <v>33</v>
      </c>
    </row>
    <row r="495" spans="1:12" x14ac:dyDescent="0.35">
      <c r="A495" t="s">
        <v>563</v>
      </c>
      <c r="B495" s="4">
        <v>45474</v>
      </c>
      <c r="C495" t="s">
        <v>13</v>
      </c>
      <c r="D495" t="s">
        <v>82</v>
      </c>
      <c r="E495" t="s">
        <v>51</v>
      </c>
      <c r="F495" t="s">
        <v>52</v>
      </c>
      <c r="G495" t="s">
        <v>121</v>
      </c>
      <c r="H495">
        <v>2642.58</v>
      </c>
      <c r="I495">
        <v>778.86</v>
      </c>
      <c r="J495">
        <v>2</v>
      </c>
      <c r="K495" t="s">
        <v>26</v>
      </c>
      <c r="L495" t="s">
        <v>61</v>
      </c>
    </row>
    <row r="496" spans="1:12" x14ac:dyDescent="0.35">
      <c r="A496" t="s">
        <v>1167</v>
      </c>
      <c r="B496" s="4">
        <v>45624</v>
      </c>
      <c r="C496" t="s">
        <v>13</v>
      </c>
      <c r="D496" t="s">
        <v>14</v>
      </c>
      <c r="E496" t="s">
        <v>23</v>
      </c>
      <c r="F496" t="s">
        <v>69</v>
      </c>
      <c r="G496" t="s">
        <v>98</v>
      </c>
      <c r="H496">
        <v>2638.1</v>
      </c>
      <c r="I496">
        <v>744.35</v>
      </c>
      <c r="J496">
        <v>1</v>
      </c>
      <c r="K496" t="s">
        <v>26</v>
      </c>
      <c r="L496" t="s">
        <v>61</v>
      </c>
    </row>
    <row r="497" spans="1:12" x14ac:dyDescent="0.35">
      <c r="A497" t="s">
        <v>237</v>
      </c>
      <c r="B497" s="4">
        <v>45313</v>
      </c>
      <c r="C497" t="s">
        <v>21</v>
      </c>
      <c r="D497" t="s">
        <v>65</v>
      </c>
      <c r="E497" t="s">
        <v>23</v>
      </c>
      <c r="F497" t="s">
        <v>69</v>
      </c>
      <c r="G497" t="s">
        <v>167</v>
      </c>
      <c r="H497">
        <v>2634.72</v>
      </c>
      <c r="I497">
        <v>186.71</v>
      </c>
      <c r="J497">
        <v>4</v>
      </c>
      <c r="K497" t="s">
        <v>18</v>
      </c>
      <c r="L497" t="s">
        <v>61</v>
      </c>
    </row>
    <row r="498" spans="1:12" x14ac:dyDescent="0.35">
      <c r="A498" t="s">
        <v>323</v>
      </c>
      <c r="B498" s="4">
        <v>45620</v>
      </c>
      <c r="C498" t="s">
        <v>21</v>
      </c>
      <c r="D498" t="s">
        <v>134</v>
      </c>
      <c r="E498" t="s">
        <v>51</v>
      </c>
      <c r="F498" t="s">
        <v>74</v>
      </c>
      <c r="G498" t="s">
        <v>324</v>
      </c>
      <c r="H498">
        <v>2633.35</v>
      </c>
      <c r="I498">
        <v>586</v>
      </c>
      <c r="J498">
        <v>3</v>
      </c>
      <c r="K498" t="s">
        <v>18</v>
      </c>
      <c r="L498" t="s">
        <v>54</v>
      </c>
    </row>
    <row r="499" spans="1:12" x14ac:dyDescent="0.35">
      <c r="A499" t="s">
        <v>1160</v>
      </c>
      <c r="B499" s="4">
        <v>45450</v>
      </c>
      <c r="C499" t="s">
        <v>13</v>
      </c>
      <c r="D499" t="s">
        <v>14</v>
      </c>
      <c r="E499" t="s">
        <v>51</v>
      </c>
      <c r="F499" t="s">
        <v>52</v>
      </c>
      <c r="G499" t="s">
        <v>221</v>
      </c>
      <c r="H499">
        <v>2633.31</v>
      </c>
      <c r="I499">
        <v>218.72</v>
      </c>
      <c r="J499">
        <v>5</v>
      </c>
      <c r="K499" t="s">
        <v>32</v>
      </c>
      <c r="L499" t="s">
        <v>27</v>
      </c>
    </row>
    <row r="500" spans="1:12" x14ac:dyDescent="0.35">
      <c r="A500" t="s">
        <v>1044</v>
      </c>
      <c r="B500" s="4">
        <v>45449</v>
      </c>
      <c r="C500" t="s">
        <v>46</v>
      </c>
      <c r="D500" t="s">
        <v>89</v>
      </c>
      <c r="E500" t="s">
        <v>23</v>
      </c>
      <c r="F500" t="s">
        <v>92</v>
      </c>
      <c r="G500" t="s">
        <v>412</v>
      </c>
      <c r="H500">
        <v>2620.25</v>
      </c>
      <c r="I500">
        <v>311.99</v>
      </c>
      <c r="J500">
        <v>4</v>
      </c>
      <c r="K500" t="s">
        <v>18</v>
      </c>
      <c r="L500" t="s">
        <v>54</v>
      </c>
    </row>
    <row r="501" spans="1:12" x14ac:dyDescent="0.35">
      <c r="A501" t="s">
        <v>994</v>
      </c>
      <c r="B501" s="4">
        <v>45586</v>
      </c>
      <c r="C501" t="s">
        <v>35</v>
      </c>
      <c r="D501" t="s">
        <v>50</v>
      </c>
      <c r="E501" t="s">
        <v>23</v>
      </c>
      <c r="F501" t="s">
        <v>69</v>
      </c>
      <c r="G501" t="s">
        <v>355</v>
      </c>
      <c r="H501">
        <v>2617.75</v>
      </c>
      <c r="I501">
        <v>297.95</v>
      </c>
      <c r="J501">
        <v>10</v>
      </c>
      <c r="K501" t="s">
        <v>26</v>
      </c>
      <c r="L501" t="s">
        <v>19</v>
      </c>
    </row>
    <row r="502" spans="1:12" x14ac:dyDescent="0.35">
      <c r="A502" t="s">
        <v>141</v>
      </c>
      <c r="B502" s="4">
        <v>45524</v>
      </c>
      <c r="C502" t="s">
        <v>46</v>
      </c>
      <c r="D502" t="s">
        <v>47</v>
      </c>
      <c r="E502" t="s">
        <v>23</v>
      </c>
      <c r="F502" t="s">
        <v>92</v>
      </c>
      <c r="G502" t="s">
        <v>142</v>
      </c>
      <c r="H502">
        <v>2617.7399999999998</v>
      </c>
      <c r="I502">
        <v>348.41</v>
      </c>
      <c r="J502">
        <v>4</v>
      </c>
      <c r="K502" t="s">
        <v>18</v>
      </c>
      <c r="L502" t="s">
        <v>58</v>
      </c>
    </row>
    <row r="503" spans="1:12" x14ac:dyDescent="0.35">
      <c r="A503" t="s">
        <v>1220</v>
      </c>
      <c r="B503" s="4">
        <v>45323</v>
      </c>
      <c r="C503" t="s">
        <v>13</v>
      </c>
      <c r="D503" t="s">
        <v>29</v>
      </c>
      <c r="E503" t="s">
        <v>15</v>
      </c>
      <c r="F503" t="s">
        <v>16</v>
      </c>
      <c r="G503" t="s">
        <v>541</v>
      </c>
      <c r="H503">
        <v>2613.36</v>
      </c>
      <c r="I503">
        <v>722.84</v>
      </c>
      <c r="J503">
        <v>10</v>
      </c>
      <c r="K503" t="s">
        <v>32</v>
      </c>
      <c r="L503" t="s">
        <v>54</v>
      </c>
    </row>
    <row r="504" spans="1:12" x14ac:dyDescent="0.35">
      <c r="A504" t="s">
        <v>532</v>
      </c>
      <c r="B504" s="4">
        <v>45655</v>
      </c>
      <c r="C504" t="s">
        <v>13</v>
      </c>
      <c r="D504" t="s">
        <v>29</v>
      </c>
      <c r="E504" t="s">
        <v>23</v>
      </c>
      <c r="F504" t="s">
        <v>92</v>
      </c>
      <c r="G504" t="s">
        <v>533</v>
      </c>
      <c r="H504">
        <v>2606.8200000000002</v>
      </c>
      <c r="I504">
        <v>786.29</v>
      </c>
      <c r="J504">
        <v>10</v>
      </c>
      <c r="K504" t="s">
        <v>18</v>
      </c>
      <c r="L504" t="s">
        <v>42</v>
      </c>
    </row>
    <row r="505" spans="1:12" x14ac:dyDescent="0.35">
      <c r="A505" t="s">
        <v>894</v>
      </c>
      <c r="B505" s="4">
        <v>45617</v>
      </c>
      <c r="C505" t="s">
        <v>13</v>
      </c>
      <c r="D505" t="s">
        <v>29</v>
      </c>
      <c r="E505" t="s">
        <v>15</v>
      </c>
      <c r="F505" t="s">
        <v>16</v>
      </c>
      <c r="G505" t="s">
        <v>269</v>
      </c>
      <c r="H505">
        <v>2601.09</v>
      </c>
      <c r="I505">
        <v>420.45</v>
      </c>
      <c r="J505">
        <v>7</v>
      </c>
      <c r="K505" t="s">
        <v>18</v>
      </c>
      <c r="L505" t="s">
        <v>33</v>
      </c>
    </row>
    <row r="506" spans="1:12" x14ac:dyDescent="0.35">
      <c r="A506" t="s">
        <v>330</v>
      </c>
      <c r="B506" s="4">
        <v>45536</v>
      </c>
      <c r="C506" t="s">
        <v>46</v>
      </c>
      <c r="D506" t="s">
        <v>56</v>
      </c>
      <c r="E506" t="s">
        <v>51</v>
      </c>
      <c r="F506" t="s">
        <v>74</v>
      </c>
      <c r="G506" t="s">
        <v>193</v>
      </c>
      <c r="H506">
        <v>2598.1799999999998</v>
      </c>
      <c r="I506">
        <v>304.74</v>
      </c>
      <c r="J506">
        <v>7</v>
      </c>
      <c r="K506" t="s">
        <v>18</v>
      </c>
      <c r="L506" t="s">
        <v>78</v>
      </c>
    </row>
    <row r="507" spans="1:12" x14ac:dyDescent="0.35">
      <c r="A507" t="s">
        <v>740</v>
      </c>
      <c r="B507" s="4">
        <v>45406</v>
      </c>
      <c r="C507" t="s">
        <v>21</v>
      </c>
      <c r="D507" t="s">
        <v>22</v>
      </c>
      <c r="E507" t="s">
        <v>15</v>
      </c>
      <c r="F507" t="s">
        <v>16</v>
      </c>
      <c r="G507" t="s">
        <v>17</v>
      </c>
      <c r="H507">
        <v>2596.81</v>
      </c>
      <c r="I507">
        <v>395.12</v>
      </c>
      <c r="J507">
        <v>8</v>
      </c>
      <c r="K507" t="s">
        <v>26</v>
      </c>
      <c r="L507" t="s">
        <v>61</v>
      </c>
    </row>
    <row r="508" spans="1:12" x14ac:dyDescent="0.35">
      <c r="A508" t="s">
        <v>466</v>
      </c>
      <c r="B508" s="4">
        <v>45440</v>
      </c>
      <c r="C508" t="s">
        <v>13</v>
      </c>
      <c r="D508" t="s">
        <v>82</v>
      </c>
      <c r="E508" t="s">
        <v>15</v>
      </c>
      <c r="F508" t="s">
        <v>16</v>
      </c>
      <c r="G508" t="s">
        <v>215</v>
      </c>
      <c r="H508">
        <v>2588.37</v>
      </c>
      <c r="I508">
        <v>553.44000000000005</v>
      </c>
      <c r="J508">
        <v>2</v>
      </c>
      <c r="K508" t="s">
        <v>18</v>
      </c>
      <c r="L508" t="s">
        <v>58</v>
      </c>
    </row>
    <row r="509" spans="1:12" x14ac:dyDescent="0.35">
      <c r="A509" t="s">
        <v>943</v>
      </c>
      <c r="B509" s="4">
        <v>45333</v>
      </c>
      <c r="C509" t="s">
        <v>21</v>
      </c>
      <c r="D509" t="s">
        <v>22</v>
      </c>
      <c r="E509" t="s">
        <v>15</v>
      </c>
      <c r="F509" t="s">
        <v>40</v>
      </c>
      <c r="G509" t="s">
        <v>127</v>
      </c>
      <c r="H509">
        <v>2584.88</v>
      </c>
      <c r="I509">
        <v>161.01</v>
      </c>
      <c r="J509">
        <v>6</v>
      </c>
      <c r="K509" t="s">
        <v>26</v>
      </c>
      <c r="L509" t="s">
        <v>19</v>
      </c>
    </row>
    <row r="510" spans="1:12" x14ac:dyDescent="0.35">
      <c r="A510" t="s">
        <v>488</v>
      </c>
      <c r="B510" s="4">
        <v>45386</v>
      </c>
      <c r="C510" t="s">
        <v>46</v>
      </c>
      <c r="D510" t="s">
        <v>89</v>
      </c>
      <c r="E510" t="s">
        <v>15</v>
      </c>
      <c r="F510" t="s">
        <v>30</v>
      </c>
      <c r="G510" t="s">
        <v>489</v>
      </c>
      <c r="H510">
        <v>2582.3200000000002</v>
      </c>
      <c r="I510">
        <v>880.57</v>
      </c>
      <c r="J510">
        <v>7</v>
      </c>
      <c r="K510" t="s">
        <v>26</v>
      </c>
      <c r="L510" t="s">
        <v>61</v>
      </c>
    </row>
    <row r="511" spans="1:12" x14ac:dyDescent="0.35">
      <c r="A511" t="s">
        <v>337</v>
      </c>
      <c r="B511" s="4">
        <v>45468</v>
      </c>
      <c r="C511" t="s">
        <v>21</v>
      </c>
      <c r="D511" t="s">
        <v>22</v>
      </c>
      <c r="E511" t="s">
        <v>15</v>
      </c>
      <c r="F511" t="s">
        <v>40</v>
      </c>
      <c r="G511" t="s">
        <v>176</v>
      </c>
      <c r="H511">
        <v>2574.0300000000002</v>
      </c>
      <c r="I511">
        <v>820.07</v>
      </c>
      <c r="J511">
        <v>1</v>
      </c>
      <c r="K511" t="s">
        <v>18</v>
      </c>
      <c r="L511" t="s">
        <v>42</v>
      </c>
    </row>
    <row r="512" spans="1:12" x14ac:dyDescent="0.35">
      <c r="A512" t="s">
        <v>287</v>
      </c>
      <c r="B512" s="4">
        <v>45339</v>
      </c>
      <c r="C512" t="s">
        <v>46</v>
      </c>
      <c r="D512" t="s">
        <v>47</v>
      </c>
      <c r="E512" t="s">
        <v>15</v>
      </c>
      <c r="F512" t="s">
        <v>30</v>
      </c>
      <c r="G512" t="s">
        <v>57</v>
      </c>
      <c r="H512">
        <v>2569.27</v>
      </c>
      <c r="I512">
        <v>751.16</v>
      </c>
      <c r="J512">
        <v>1</v>
      </c>
      <c r="K512" t="s">
        <v>32</v>
      </c>
      <c r="L512" t="s">
        <v>54</v>
      </c>
    </row>
    <row r="513" spans="1:12" x14ac:dyDescent="0.35">
      <c r="A513" t="s">
        <v>909</v>
      </c>
      <c r="B513" s="4">
        <v>45419</v>
      </c>
      <c r="C513" t="s">
        <v>21</v>
      </c>
      <c r="D513" t="s">
        <v>22</v>
      </c>
      <c r="E513" t="s">
        <v>51</v>
      </c>
      <c r="F513" t="s">
        <v>66</v>
      </c>
      <c r="G513" t="s">
        <v>864</v>
      </c>
      <c r="H513">
        <v>2562.65</v>
      </c>
      <c r="I513">
        <v>195.79</v>
      </c>
      <c r="J513">
        <v>8</v>
      </c>
      <c r="K513" t="s">
        <v>26</v>
      </c>
      <c r="L513" t="s">
        <v>42</v>
      </c>
    </row>
    <row r="514" spans="1:12" x14ac:dyDescent="0.35">
      <c r="A514" t="s">
        <v>1061</v>
      </c>
      <c r="B514" s="4">
        <v>45485</v>
      </c>
      <c r="C514" t="s">
        <v>46</v>
      </c>
      <c r="D514" t="s">
        <v>89</v>
      </c>
      <c r="E514" t="s">
        <v>23</v>
      </c>
      <c r="F514" t="s">
        <v>69</v>
      </c>
      <c r="G514" t="s">
        <v>465</v>
      </c>
      <c r="H514">
        <v>2559.2399999999998</v>
      </c>
      <c r="I514">
        <v>395.19</v>
      </c>
      <c r="J514">
        <v>8</v>
      </c>
      <c r="K514" t="s">
        <v>32</v>
      </c>
      <c r="L514" t="s">
        <v>19</v>
      </c>
    </row>
    <row r="515" spans="1:12" x14ac:dyDescent="0.35">
      <c r="A515" t="s">
        <v>538</v>
      </c>
      <c r="B515" s="4">
        <v>45439</v>
      </c>
      <c r="C515" t="s">
        <v>21</v>
      </c>
      <c r="D515" t="s">
        <v>134</v>
      </c>
      <c r="E515" t="s">
        <v>23</v>
      </c>
      <c r="F515" t="s">
        <v>24</v>
      </c>
      <c r="G515" t="s">
        <v>496</v>
      </c>
      <c r="H515">
        <v>2555.59</v>
      </c>
      <c r="I515">
        <v>540.30999999999995</v>
      </c>
      <c r="J515">
        <v>10</v>
      </c>
      <c r="K515" t="s">
        <v>32</v>
      </c>
      <c r="L515" t="s">
        <v>58</v>
      </c>
    </row>
    <row r="516" spans="1:12" x14ac:dyDescent="0.35">
      <c r="A516" t="s">
        <v>1211</v>
      </c>
      <c r="B516" s="4">
        <v>45384</v>
      </c>
      <c r="C516" t="s">
        <v>46</v>
      </c>
      <c r="D516" t="s">
        <v>47</v>
      </c>
      <c r="E516" t="s">
        <v>15</v>
      </c>
      <c r="F516" t="s">
        <v>40</v>
      </c>
      <c r="G516" t="s">
        <v>672</v>
      </c>
      <c r="H516">
        <v>2554.31</v>
      </c>
      <c r="I516">
        <v>138.99</v>
      </c>
      <c r="J516">
        <v>6</v>
      </c>
      <c r="K516" t="s">
        <v>26</v>
      </c>
      <c r="L516" t="s">
        <v>54</v>
      </c>
    </row>
    <row r="517" spans="1:12" x14ac:dyDescent="0.35">
      <c r="A517" t="s">
        <v>576</v>
      </c>
      <c r="B517" s="4">
        <v>45428</v>
      </c>
      <c r="C517" t="s">
        <v>13</v>
      </c>
      <c r="D517" t="s">
        <v>14</v>
      </c>
      <c r="E517" t="s">
        <v>23</v>
      </c>
      <c r="F517" t="s">
        <v>92</v>
      </c>
      <c r="G517" t="s">
        <v>446</v>
      </c>
      <c r="H517">
        <v>2545.5500000000002</v>
      </c>
      <c r="I517">
        <v>592.16</v>
      </c>
      <c r="J517">
        <v>2</v>
      </c>
      <c r="K517" t="s">
        <v>26</v>
      </c>
      <c r="L517" t="s">
        <v>19</v>
      </c>
    </row>
    <row r="518" spans="1:12" x14ac:dyDescent="0.35">
      <c r="A518" t="s">
        <v>971</v>
      </c>
      <c r="B518" s="4">
        <v>45338</v>
      </c>
      <c r="C518" t="s">
        <v>13</v>
      </c>
      <c r="D518" t="s">
        <v>29</v>
      </c>
      <c r="E518" t="s">
        <v>15</v>
      </c>
      <c r="F518" t="s">
        <v>40</v>
      </c>
      <c r="G518" t="s">
        <v>144</v>
      </c>
      <c r="H518">
        <v>2543.63</v>
      </c>
      <c r="I518">
        <v>396.39</v>
      </c>
      <c r="J518">
        <v>3</v>
      </c>
      <c r="K518" t="s">
        <v>32</v>
      </c>
      <c r="L518" t="s">
        <v>54</v>
      </c>
    </row>
    <row r="519" spans="1:12" x14ac:dyDescent="0.35">
      <c r="A519" t="s">
        <v>987</v>
      </c>
      <c r="B519" s="4">
        <v>45450</v>
      </c>
      <c r="C519" t="s">
        <v>35</v>
      </c>
      <c r="D519" t="s">
        <v>36</v>
      </c>
      <c r="E519" t="s">
        <v>15</v>
      </c>
      <c r="F519" t="s">
        <v>40</v>
      </c>
      <c r="G519" t="s">
        <v>249</v>
      </c>
      <c r="H519">
        <v>2541.41</v>
      </c>
      <c r="I519">
        <v>685.05</v>
      </c>
      <c r="J519">
        <v>9</v>
      </c>
      <c r="K519" t="s">
        <v>18</v>
      </c>
      <c r="L519" t="s">
        <v>19</v>
      </c>
    </row>
    <row r="520" spans="1:12" x14ac:dyDescent="0.35">
      <c r="A520" t="s">
        <v>209</v>
      </c>
      <c r="B520" s="4">
        <v>45437</v>
      </c>
      <c r="C520" t="s">
        <v>21</v>
      </c>
      <c r="D520" t="s">
        <v>65</v>
      </c>
      <c r="E520" t="s">
        <v>51</v>
      </c>
      <c r="F520" t="s">
        <v>74</v>
      </c>
      <c r="G520" t="s">
        <v>210</v>
      </c>
      <c r="H520">
        <v>2530.21</v>
      </c>
      <c r="I520">
        <v>438.88</v>
      </c>
      <c r="J520">
        <v>9</v>
      </c>
      <c r="K520" t="s">
        <v>18</v>
      </c>
      <c r="L520" t="s">
        <v>42</v>
      </c>
    </row>
    <row r="521" spans="1:12" x14ac:dyDescent="0.35">
      <c r="A521" t="s">
        <v>687</v>
      </c>
      <c r="B521" s="4">
        <v>45414</v>
      </c>
      <c r="C521" t="s">
        <v>21</v>
      </c>
      <c r="D521" t="s">
        <v>134</v>
      </c>
      <c r="E521" t="s">
        <v>23</v>
      </c>
      <c r="F521" t="s">
        <v>92</v>
      </c>
      <c r="G521" t="s">
        <v>100</v>
      </c>
      <c r="H521">
        <v>2528.84</v>
      </c>
      <c r="I521">
        <v>345.68</v>
      </c>
      <c r="J521">
        <v>7</v>
      </c>
      <c r="K521" t="s">
        <v>26</v>
      </c>
      <c r="L521" t="s">
        <v>27</v>
      </c>
    </row>
    <row r="522" spans="1:12" x14ac:dyDescent="0.35">
      <c r="A522" t="s">
        <v>775</v>
      </c>
      <c r="B522" s="4">
        <v>45418</v>
      </c>
      <c r="C522" t="s">
        <v>35</v>
      </c>
      <c r="D522" t="s">
        <v>50</v>
      </c>
      <c r="E522" t="s">
        <v>23</v>
      </c>
      <c r="F522" t="s">
        <v>69</v>
      </c>
      <c r="G522" t="s">
        <v>147</v>
      </c>
      <c r="H522">
        <v>2517.98</v>
      </c>
      <c r="I522">
        <v>310.45</v>
      </c>
      <c r="J522">
        <v>3</v>
      </c>
      <c r="K522" t="s">
        <v>26</v>
      </c>
      <c r="L522" t="s">
        <v>58</v>
      </c>
    </row>
    <row r="523" spans="1:12" x14ac:dyDescent="0.35">
      <c r="A523" t="s">
        <v>712</v>
      </c>
      <c r="B523" s="4">
        <v>45557</v>
      </c>
      <c r="C523" t="s">
        <v>21</v>
      </c>
      <c r="D523" t="s">
        <v>22</v>
      </c>
      <c r="E523" t="s">
        <v>51</v>
      </c>
      <c r="F523" t="s">
        <v>52</v>
      </c>
      <c r="G523" t="s">
        <v>499</v>
      </c>
      <c r="H523">
        <v>2512.5500000000002</v>
      </c>
      <c r="I523">
        <v>717.76</v>
      </c>
      <c r="J523">
        <v>8</v>
      </c>
      <c r="K523" t="s">
        <v>32</v>
      </c>
      <c r="L523" t="s">
        <v>61</v>
      </c>
    </row>
    <row r="524" spans="1:12" x14ac:dyDescent="0.35">
      <c r="A524" t="s">
        <v>424</v>
      </c>
      <c r="B524" s="4">
        <v>45649</v>
      </c>
      <c r="C524" t="s">
        <v>35</v>
      </c>
      <c r="D524" t="s">
        <v>39</v>
      </c>
      <c r="E524" t="s">
        <v>23</v>
      </c>
      <c r="F524" t="s">
        <v>69</v>
      </c>
      <c r="G524" t="s">
        <v>161</v>
      </c>
      <c r="H524">
        <v>2508.83</v>
      </c>
      <c r="I524">
        <v>593.54999999999995</v>
      </c>
      <c r="J524">
        <v>6</v>
      </c>
      <c r="K524" t="s">
        <v>18</v>
      </c>
      <c r="L524" t="s">
        <v>19</v>
      </c>
    </row>
    <row r="525" spans="1:12" x14ac:dyDescent="0.35">
      <c r="A525" t="s">
        <v>911</v>
      </c>
      <c r="B525" s="4">
        <v>45377</v>
      </c>
      <c r="C525" t="s">
        <v>13</v>
      </c>
      <c r="D525" t="s">
        <v>29</v>
      </c>
      <c r="E525" t="s">
        <v>23</v>
      </c>
      <c r="F525" t="s">
        <v>92</v>
      </c>
      <c r="G525" t="s">
        <v>566</v>
      </c>
      <c r="H525">
        <v>2507.52</v>
      </c>
      <c r="I525">
        <v>238.75</v>
      </c>
      <c r="J525">
        <v>9</v>
      </c>
      <c r="K525" t="s">
        <v>26</v>
      </c>
      <c r="L525" t="s">
        <v>42</v>
      </c>
    </row>
    <row r="526" spans="1:12" x14ac:dyDescent="0.35">
      <c r="A526" t="s">
        <v>407</v>
      </c>
      <c r="B526" s="4">
        <v>45563</v>
      </c>
      <c r="C526" t="s">
        <v>21</v>
      </c>
      <c r="D526" t="s">
        <v>134</v>
      </c>
      <c r="E526" t="s">
        <v>51</v>
      </c>
      <c r="F526" t="s">
        <v>52</v>
      </c>
      <c r="G526" t="s">
        <v>140</v>
      </c>
      <c r="H526">
        <v>2505.7399999999998</v>
      </c>
      <c r="I526">
        <v>389.77</v>
      </c>
      <c r="J526">
        <v>4</v>
      </c>
      <c r="K526" t="s">
        <v>32</v>
      </c>
      <c r="L526" t="s">
        <v>58</v>
      </c>
    </row>
    <row r="527" spans="1:12" x14ac:dyDescent="0.35">
      <c r="A527" t="s">
        <v>688</v>
      </c>
      <c r="B527" s="4">
        <v>45299</v>
      </c>
      <c r="C527" t="s">
        <v>46</v>
      </c>
      <c r="D527" t="s">
        <v>89</v>
      </c>
      <c r="E527" t="s">
        <v>23</v>
      </c>
      <c r="F527" t="s">
        <v>24</v>
      </c>
      <c r="G527" t="s">
        <v>329</v>
      </c>
      <c r="H527">
        <v>2504.87</v>
      </c>
      <c r="I527">
        <v>311.43</v>
      </c>
      <c r="J527">
        <v>6</v>
      </c>
      <c r="K527" t="s">
        <v>18</v>
      </c>
      <c r="L527" t="s">
        <v>42</v>
      </c>
    </row>
    <row r="528" spans="1:12" x14ac:dyDescent="0.35">
      <c r="A528" t="s">
        <v>655</v>
      </c>
      <c r="B528" s="4">
        <v>45318</v>
      </c>
      <c r="C528" t="s">
        <v>13</v>
      </c>
      <c r="D528" t="s">
        <v>14</v>
      </c>
      <c r="E528" t="s">
        <v>51</v>
      </c>
      <c r="F528" t="s">
        <v>66</v>
      </c>
      <c r="G528" t="s">
        <v>67</v>
      </c>
      <c r="H528">
        <v>2497.02</v>
      </c>
      <c r="I528">
        <v>322.67</v>
      </c>
      <c r="J528">
        <v>7</v>
      </c>
      <c r="K528" t="s">
        <v>26</v>
      </c>
      <c r="L528" t="s">
        <v>58</v>
      </c>
    </row>
    <row r="529" spans="1:12" x14ac:dyDescent="0.35">
      <c r="A529" t="s">
        <v>1183</v>
      </c>
      <c r="B529" s="4">
        <v>45612</v>
      </c>
      <c r="C529" t="s">
        <v>35</v>
      </c>
      <c r="D529" t="s">
        <v>39</v>
      </c>
      <c r="E529" t="s">
        <v>23</v>
      </c>
      <c r="F529" t="s">
        <v>92</v>
      </c>
      <c r="G529" t="s">
        <v>100</v>
      </c>
      <c r="H529">
        <v>2491.12</v>
      </c>
      <c r="I529">
        <v>175.2</v>
      </c>
      <c r="J529">
        <v>9</v>
      </c>
      <c r="K529" t="s">
        <v>32</v>
      </c>
      <c r="L529" t="s">
        <v>78</v>
      </c>
    </row>
    <row r="530" spans="1:12" x14ac:dyDescent="0.35">
      <c r="A530" t="s">
        <v>180</v>
      </c>
      <c r="B530" s="4">
        <v>45572</v>
      </c>
      <c r="C530" t="s">
        <v>46</v>
      </c>
      <c r="D530" t="s">
        <v>47</v>
      </c>
      <c r="E530" t="s">
        <v>15</v>
      </c>
      <c r="F530" t="s">
        <v>16</v>
      </c>
      <c r="G530" t="s">
        <v>181</v>
      </c>
      <c r="H530">
        <v>2486.64</v>
      </c>
      <c r="I530">
        <v>536.52</v>
      </c>
      <c r="J530">
        <v>3</v>
      </c>
      <c r="K530" t="s">
        <v>26</v>
      </c>
      <c r="L530" t="s">
        <v>78</v>
      </c>
    </row>
    <row r="531" spans="1:12" x14ac:dyDescent="0.35">
      <c r="A531" t="s">
        <v>838</v>
      </c>
      <c r="B531" s="4">
        <v>45505</v>
      </c>
      <c r="C531" t="s">
        <v>35</v>
      </c>
      <c r="D531" t="s">
        <v>39</v>
      </c>
      <c r="E531" t="s">
        <v>23</v>
      </c>
      <c r="F531" t="s">
        <v>24</v>
      </c>
      <c r="G531" t="s">
        <v>727</v>
      </c>
      <c r="H531">
        <v>2480.69</v>
      </c>
      <c r="I531">
        <v>354.92</v>
      </c>
      <c r="J531">
        <v>7</v>
      </c>
      <c r="K531" t="s">
        <v>32</v>
      </c>
      <c r="L531" t="s">
        <v>61</v>
      </c>
    </row>
    <row r="532" spans="1:12" x14ac:dyDescent="0.35">
      <c r="A532" t="s">
        <v>377</v>
      </c>
      <c r="B532" s="4">
        <v>45421</v>
      </c>
      <c r="C532" t="s">
        <v>13</v>
      </c>
      <c r="D532" t="s">
        <v>82</v>
      </c>
      <c r="E532" t="s">
        <v>23</v>
      </c>
      <c r="F532" t="s">
        <v>24</v>
      </c>
      <c r="G532" t="s">
        <v>158</v>
      </c>
      <c r="H532">
        <v>2478.5500000000002</v>
      </c>
      <c r="I532">
        <v>489.17</v>
      </c>
      <c r="J532">
        <v>8</v>
      </c>
      <c r="K532" t="s">
        <v>26</v>
      </c>
      <c r="L532" t="s">
        <v>27</v>
      </c>
    </row>
    <row r="533" spans="1:12" x14ac:dyDescent="0.35">
      <c r="A533" t="s">
        <v>295</v>
      </c>
      <c r="B533" s="4">
        <v>45452</v>
      </c>
      <c r="C533" t="s">
        <v>35</v>
      </c>
      <c r="D533" t="s">
        <v>50</v>
      </c>
      <c r="E533" t="s">
        <v>15</v>
      </c>
      <c r="F533" t="s">
        <v>40</v>
      </c>
      <c r="G533" t="s">
        <v>249</v>
      </c>
      <c r="H533">
        <v>2477.5</v>
      </c>
      <c r="I533">
        <v>310.11</v>
      </c>
      <c r="J533">
        <v>4</v>
      </c>
      <c r="K533" t="s">
        <v>26</v>
      </c>
      <c r="L533" t="s">
        <v>27</v>
      </c>
    </row>
    <row r="534" spans="1:12" x14ac:dyDescent="0.35">
      <c r="A534" t="s">
        <v>467</v>
      </c>
      <c r="B534" s="4">
        <v>45384</v>
      </c>
      <c r="C534" t="s">
        <v>46</v>
      </c>
      <c r="D534" t="s">
        <v>56</v>
      </c>
      <c r="E534" t="s">
        <v>23</v>
      </c>
      <c r="F534" t="s">
        <v>92</v>
      </c>
      <c r="G534" t="s">
        <v>129</v>
      </c>
      <c r="H534">
        <v>2477.3000000000002</v>
      </c>
      <c r="I534">
        <v>462.3</v>
      </c>
      <c r="J534">
        <v>4</v>
      </c>
      <c r="K534" t="s">
        <v>32</v>
      </c>
      <c r="L534" t="s">
        <v>54</v>
      </c>
    </row>
    <row r="535" spans="1:12" x14ac:dyDescent="0.35">
      <c r="A535" t="s">
        <v>1207</v>
      </c>
      <c r="B535" s="4">
        <v>45345</v>
      </c>
      <c r="C535" t="s">
        <v>35</v>
      </c>
      <c r="D535" t="s">
        <v>36</v>
      </c>
      <c r="E535" t="s">
        <v>51</v>
      </c>
      <c r="F535" t="s">
        <v>66</v>
      </c>
      <c r="G535" t="s">
        <v>343</v>
      </c>
      <c r="H535">
        <v>2472.98</v>
      </c>
      <c r="I535">
        <v>173.64</v>
      </c>
      <c r="J535">
        <v>3</v>
      </c>
      <c r="K535" t="s">
        <v>32</v>
      </c>
      <c r="L535" t="s">
        <v>54</v>
      </c>
    </row>
    <row r="536" spans="1:12" x14ac:dyDescent="0.35">
      <c r="A536" t="s">
        <v>474</v>
      </c>
      <c r="B536" s="4">
        <v>45462</v>
      </c>
      <c r="C536" t="s">
        <v>46</v>
      </c>
      <c r="D536" t="s">
        <v>47</v>
      </c>
      <c r="E536" t="s">
        <v>51</v>
      </c>
      <c r="F536" t="s">
        <v>74</v>
      </c>
      <c r="G536" t="s">
        <v>320</v>
      </c>
      <c r="H536">
        <v>2467.5500000000002</v>
      </c>
      <c r="I536">
        <v>210.56</v>
      </c>
      <c r="J536">
        <v>6</v>
      </c>
      <c r="K536" t="s">
        <v>32</v>
      </c>
      <c r="L536" t="s">
        <v>27</v>
      </c>
    </row>
    <row r="537" spans="1:12" x14ac:dyDescent="0.35">
      <c r="A537" t="s">
        <v>387</v>
      </c>
      <c r="B537" s="4">
        <v>45407</v>
      </c>
      <c r="C537" t="s">
        <v>35</v>
      </c>
      <c r="D537" t="s">
        <v>39</v>
      </c>
      <c r="E537" t="s">
        <v>51</v>
      </c>
      <c r="F537" t="s">
        <v>52</v>
      </c>
      <c r="G537" t="s">
        <v>316</v>
      </c>
      <c r="H537">
        <v>2464.31</v>
      </c>
      <c r="I537">
        <v>759.46</v>
      </c>
      <c r="J537">
        <v>5</v>
      </c>
      <c r="K537" t="s">
        <v>26</v>
      </c>
      <c r="L537" t="s">
        <v>19</v>
      </c>
    </row>
    <row r="538" spans="1:12" x14ac:dyDescent="0.35">
      <c r="A538" t="s">
        <v>662</v>
      </c>
      <c r="B538" s="4">
        <v>45339</v>
      </c>
      <c r="C538" t="s">
        <v>21</v>
      </c>
      <c r="D538" t="s">
        <v>65</v>
      </c>
      <c r="E538" t="s">
        <v>15</v>
      </c>
      <c r="F538" t="s">
        <v>40</v>
      </c>
      <c r="G538" t="s">
        <v>347</v>
      </c>
      <c r="H538">
        <v>2464.02</v>
      </c>
      <c r="I538">
        <v>548.65</v>
      </c>
      <c r="J538">
        <v>10</v>
      </c>
      <c r="K538" t="s">
        <v>26</v>
      </c>
      <c r="L538" t="s">
        <v>54</v>
      </c>
    </row>
    <row r="539" spans="1:12" x14ac:dyDescent="0.35">
      <c r="A539" t="s">
        <v>863</v>
      </c>
      <c r="B539" s="4">
        <v>45427</v>
      </c>
      <c r="C539" t="s">
        <v>13</v>
      </c>
      <c r="D539" t="s">
        <v>29</v>
      </c>
      <c r="E539" t="s">
        <v>51</v>
      </c>
      <c r="F539" t="s">
        <v>66</v>
      </c>
      <c r="G539" t="s">
        <v>864</v>
      </c>
      <c r="H539">
        <v>2460.25</v>
      </c>
      <c r="I539">
        <v>734.08</v>
      </c>
      <c r="J539">
        <v>6</v>
      </c>
      <c r="K539" t="s">
        <v>26</v>
      </c>
      <c r="L539" t="s">
        <v>61</v>
      </c>
    </row>
    <row r="540" spans="1:12" x14ac:dyDescent="0.35">
      <c r="A540" t="s">
        <v>813</v>
      </c>
      <c r="B540" s="4">
        <v>45358</v>
      </c>
      <c r="C540" t="s">
        <v>21</v>
      </c>
      <c r="D540" t="s">
        <v>65</v>
      </c>
      <c r="E540" t="s">
        <v>15</v>
      </c>
      <c r="F540" t="s">
        <v>16</v>
      </c>
      <c r="G540" t="s">
        <v>327</v>
      </c>
      <c r="H540">
        <v>2459.11</v>
      </c>
      <c r="I540">
        <v>132.66</v>
      </c>
      <c r="J540">
        <v>9</v>
      </c>
      <c r="K540" t="s">
        <v>18</v>
      </c>
      <c r="L540" t="s">
        <v>19</v>
      </c>
    </row>
    <row r="541" spans="1:12" x14ac:dyDescent="0.35">
      <c r="A541" t="s">
        <v>159</v>
      </c>
      <c r="B541" s="4">
        <v>45438</v>
      </c>
      <c r="C541" t="s">
        <v>35</v>
      </c>
      <c r="D541" t="s">
        <v>39</v>
      </c>
      <c r="E541" t="s">
        <v>51</v>
      </c>
      <c r="F541" t="s">
        <v>52</v>
      </c>
      <c r="G541" t="s">
        <v>121</v>
      </c>
      <c r="H541">
        <v>2450.52</v>
      </c>
      <c r="I541">
        <v>782.69</v>
      </c>
      <c r="J541">
        <v>3</v>
      </c>
      <c r="K541" t="s">
        <v>18</v>
      </c>
      <c r="L541" t="s">
        <v>61</v>
      </c>
    </row>
    <row r="542" spans="1:12" x14ac:dyDescent="0.35">
      <c r="A542" t="s">
        <v>1155</v>
      </c>
      <c r="B542" s="4">
        <v>45366</v>
      </c>
      <c r="C542" t="s">
        <v>21</v>
      </c>
      <c r="D542" t="s">
        <v>65</v>
      </c>
      <c r="E542" t="s">
        <v>51</v>
      </c>
      <c r="F542" t="s">
        <v>52</v>
      </c>
      <c r="G542" t="s">
        <v>140</v>
      </c>
      <c r="H542">
        <v>2440.19</v>
      </c>
      <c r="I542">
        <v>199.77</v>
      </c>
      <c r="J542">
        <v>8</v>
      </c>
      <c r="K542" t="s">
        <v>32</v>
      </c>
      <c r="L542" t="s">
        <v>27</v>
      </c>
    </row>
    <row r="543" spans="1:12" x14ac:dyDescent="0.35">
      <c r="A543" t="s">
        <v>128</v>
      </c>
      <c r="B543" s="4">
        <v>45452</v>
      </c>
      <c r="C543" t="s">
        <v>35</v>
      </c>
      <c r="D543" t="s">
        <v>50</v>
      </c>
      <c r="E543" t="s">
        <v>23</v>
      </c>
      <c r="F543" t="s">
        <v>92</v>
      </c>
      <c r="G543" t="s">
        <v>129</v>
      </c>
      <c r="H543">
        <v>2434.41</v>
      </c>
      <c r="I543">
        <v>322.38</v>
      </c>
      <c r="J543">
        <v>10</v>
      </c>
      <c r="K543" t="s">
        <v>32</v>
      </c>
      <c r="L543" t="s">
        <v>58</v>
      </c>
    </row>
    <row r="544" spans="1:12" x14ac:dyDescent="0.35">
      <c r="A544" t="s">
        <v>148</v>
      </c>
      <c r="B544" s="4">
        <v>45412</v>
      </c>
      <c r="C544" t="s">
        <v>21</v>
      </c>
      <c r="D544" t="s">
        <v>22</v>
      </c>
      <c r="E544" t="s">
        <v>23</v>
      </c>
      <c r="F544" t="s">
        <v>24</v>
      </c>
      <c r="G544" t="s">
        <v>149</v>
      </c>
      <c r="H544">
        <v>2430.83</v>
      </c>
      <c r="I544">
        <v>487.4</v>
      </c>
      <c r="J544">
        <v>10</v>
      </c>
      <c r="K544" t="s">
        <v>32</v>
      </c>
      <c r="L544" t="s">
        <v>58</v>
      </c>
    </row>
    <row r="545" spans="1:12" x14ac:dyDescent="0.35">
      <c r="A545" t="s">
        <v>811</v>
      </c>
      <c r="B545" s="4">
        <v>45574</v>
      </c>
      <c r="C545" t="s">
        <v>13</v>
      </c>
      <c r="D545" t="s">
        <v>14</v>
      </c>
      <c r="E545" t="s">
        <v>51</v>
      </c>
      <c r="F545" t="s">
        <v>66</v>
      </c>
      <c r="G545" t="s">
        <v>362</v>
      </c>
      <c r="H545">
        <v>2430.38</v>
      </c>
      <c r="I545">
        <v>715.29</v>
      </c>
      <c r="J545">
        <v>9</v>
      </c>
      <c r="K545" t="s">
        <v>26</v>
      </c>
      <c r="L545" t="s">
        <v>33</v>
      </c>
    </row>
    <row r="546" spans="1:12" x14ac:dyDescent="0.35">
      <c r="A546" t="s">
        <v>561</v>
      </c>
      <c r="B546" s="4">
        <v>45398</v>
      </c>
      <c r="C546" t="s">
        <v>21</v>
      </c>
      <c r="D546" t="s">
        <v>134</v>
      </c>
      <c r="E546" t="s">
        <v>15</v>
      </c>
      <c r="F546" t="s">
        <v>30</v>
      </c>
      <c r="G546" t="s">
        <v>105</v>
      </c>
      <c r="H546">
        <v>2422.5700000000002</v>
      </c>
      <c r="I546">
        <v>639.25</v>
      </c>
      <c r="J546">
        <v>5</v>
      </c>
      <c r="K546" t="s">
        <v>26</v>
      </c>
      <c r="L546" t="s">
        <v>61</v>
      </c>
    </row>
    <row r="547" spans="1:12" x14ac:dyDescent="0.35">
      <c r="A547" t="s">
        <v>984</v>
      </c>
      <c r="B547" s="4">
        <v>45377</v>
      </c>
      <c r="C547" t="s">
        <v>46</v>
      </c>
      <c r="D547" t="s">
        <v>89</v>
      </c>
      <c r="E547" t="s">
        <v>15</v>
      </c>
      <c r="F547" t="s">
        <v>16</v>
      </c>
      <c r="G547" t="s">
        <v>125</v>
      </c>
      <c r="H547">
        <v>2396.33</v>
      </c>
      <c r="I547">
        <v>507.99</v>
      </c>
      <c r="J547">
        <v>5</v>
      </c>
      <c r="K547" t="s">
        <v>32</v>
      </c>
      <c r="L547" t="s">
        <v>19</v>
      </c>
    </row>
    <row r="548" spans="1:12" x14ac:dyDescent="0.35">
      <c r="A548" t="s">
        <v>1156</v>
      </c>
      <c r="B548" s="4">
        <v>45352</v>
      </c>
      <c r="C548" t="s">
        <v>46</v>
      </c>
      <c r="D548" t="s">
        <v>47</v>
      </c>
      <c r="E548" t="s">
        <v>51</v>
      </c>
      <c r="F548" t="s">
        <v>74</v>
      </c>
      <c r="G548" t="s">
        <v>593</v>
      </c>
      <c r="H548">
        <v>2391.08</v>
      </c>
      <c r="I548">
        <v>383.15</v>
      </c>
      <c r="J548">
        <v>9</v>
      </c>
      <c r="K548" t="s">
        <v>18</v>
      </c>
      <c r="L548" t="s">
        <v>27</v>
      </c>
    </row>
    <row r="549" spans="1:12" x14ac:dyDescent="0.35">
      <c r="A549" t="s">
        <v>562</v>
      </c>
      <c r="B549" s="4">
        <v>45453</v>
      </c>
      <c r="C549" t="s">
        <v>35</v>
      </c>
      <c r="D549" t="s">
        <v>50</v>
      </c>
      <c r="E549" t="s">
        <v>23</v>
      </c>
      <c r="F549" t="s">
        <v>69</v>
      </c>
      <c r="G549" t="s">
        <v>349</v>
      </c>
      <c r="H549">
        <v>2372.65</v>
      </c>
      <c r="I549">
        <v>534.95000000000005</v>
      </c>
      <c r="J549">
        <v>7</v>
      </c>
      <c r="K549" t="s">
        <v>18</v>
      </c>
      <c r="L549" t="s">
        <v>27</v>
      </c>
    </row>
    <row r="550" spans="1:12" x14ac:dyDescent="0.35">
      <c r="A550" t="s">
        <v>452</v>
      </c>
      <c r="B550" s="4">
        <v>45393</v>
      </c>
      <c r="C550" t="s">
        <v>35</v>
      </c>
      <c r="D550" t="s">
        <v>36</v>
      </c>
      <c r="E550" t="s">
        <v>51</v>
      </c>
      <c r="F550" t="s">
        <v>52</v>
      </c>
      <c r="G550" t="s">
        <v>111</v>
      </c>
      <c r="H550">
        <v>2372.6</v>
      </c>
      <c r="I550">
        <v>553</v>
      </c>
      <c r="J550">
        <v>3</v>
      </c>
      <c r="K550" t="s">
        <v>18</v>
      </c>
      <c r="L550" t="s">
        <v>61</v>
      </c>
    </row>
    <row r="551" spans="1:12" x14ac:dyDescent="0.35">
      <c r="A551" t="s">
        <v>904</v>
      </c>
      <c r="B551" s="4">
        <v>45599</v>
      </c>
      <c r="C551" t="s">
        <v>35</v>
      </c>
      <c r="D551" t="s">
        <v>39</v>
      </c>
      <c r="E551" t="s">
        <v>23</v>
      </c>
      <c r="F551" t="s">
        <v>24</v>
      </c>
      <c r="G551" t="s">
        <v>190</v>
      </c>
      <c r="H551">
        <v>2370.13</v>
      </c>
      <c r="I551">
        <v>150.30000000000001</v>
      </c>
      <c r="J551">
        <v>3</v>
      </c>
      <c r="K551" t="s">
        <v>26</v>
      </c>
      <c r="L551" t="s">
        <v>33</v>
      </c>
    </row>
    <row r="552" spans="1:12" x14ac:dyDescent="0.35">
      <c r="A552" t="s">
        <v>804</v>
      </c>
      <c r="B552" s="4">
        <v>45371</v>
      </c>
      <c r="C552" t="s">
        <v>35</v>
      </c>
      <c r="D552" t="s">
        <v>39</v>
      </c>
      <c r="E552" t="s">
        <v>23</v>
      </c>
      <c r="F552" t="s">
        <v>69</v>
      </c>
      <c r="G552" t="s">
        <v>805</v>
      </c>
      <c r="H552">
        <v>2362.96</v>
      </c>
      <c r="I552">
        <v>703.72</v>
      </c>
      <c r="J552">
        <v>10</v>
      </c>
      <c r="K552" t="s">
        <v>26</v>
      </c>
      <c r="L552" t="s">
        <v>42</v>
      </c>
    </row>
    <row r="553" spans="1:12" x14ac:dyDescent="0.35">
      <c r="A553" t="s">
        <v>607</v>
      </c>
      <c r="B553" s="4">
        <v>45503</v>
      </c>
      <c r="C553" t="s">
        <v>21</v>
      </c>
      <c r="D553" t="s">
        <v>22</v>
      </c>
      <c r="E553" t="s">
        <v>15</v>
      </c>
      <c r="F553" t="s">
        <v>16</v>
      </c>
      <c r="G553" t="s">
        <v>156</v>
      </c>
      <c r="H553">
        <v>2361.9899999999998</v>
      </c>
      <c r="I553">
        <v>621.22</v>
      </c>
      <c r="J553">
        <v>8</v>
      </c>
      <c r="K553" t="s">
        <v>18</v>
      </c>
      <c r="L553" t="s">
        <v>19</v>
      </c>
    </row>
    <row r="554" spans="1:12" x14ac:dyDescent="0.35">
      <c r="A554" t="s">
        <v>214</v>
      </c>
      <c r="B554" s="4">
        <v>45367</v>
      </c>
      <c r="C554" t="s">
        <v>21</v>
      </c>
      <c r="D554" t="s">
        <v>134</v>
      </c>
      <c r="E554" t="s">
        <v>15</v>
      </c>
      <c r="F554" t="s">
        <v>16</v>
      </c>
      <c r="G554" t="s">
        <v>215</v>
      </c>
      <c r="H554">
        <v>2361.73</v>
      </c>
      <c r="I554">
        <v>124.28</v>
      </c>
      <c r="J554">
        <v>6</v>
      </c>
      <c r="K554" t="s">
        <v>26</v>
      </c>
      <c r="L554" t="s">
        <v>58</v>
      </c>
    </row>
    <row r="555" spans="1:12" x14ac:dyDescent="0.35">
      <c r="A555" t="s">
        <v>157</v>
      </c>
      <c r="B555" s="4">
        <v>45566</v>
      </c>
      <c r="C555" t="s">
        <v>46</v>
      </c>
      <c r="D555" t="s">
        <v>89</v>
      </c>
      <c r="E555" t="s">
        <v>23</v>
      </c>
      <c r="F555" t="s">
        <v>24</v>
      </c>
      <c r="G555" t="s">
        <v>158</v>
      </c>
      <c r="H555">
        <v>2349.44</v>
      </c>
      <c r="I555">
        <v>569.04999999999995</v>
      </c>
      <c r="J555">
        <v>10</v>
      </c>
      <c r="K555" t="s">
        <v>18</v>
      </c>
      <c r="L555" t="s">
        <v>78</v>
      </c>
    </row>
    <row r="556" spans="1:12" x14ac:dyDescent="0.35">
      <c r="A556" t="s">
        <v>1164</v>
      </c>
      <c r="B556" s="4">
        <v>45586</v>
      </c>
      <c r="C556" t="s">
        <v>46</v>
      </c>
      <c r="D556" t="s">
        <v>89</v>
      </c>
      <c r="E556" t="s">
        <v>51</v>
      </c>
      <c r="F556" t="s">
        <v>66</v>
      </c>
      <c r="G556" t="s">
        <v>362</v>
      </c>
      <c r="H556">
        <v>2340.09</v>
      </c>
      <c r="I556">
        <v>804.36</v>
      </c>
      <c r="J556">
        <v>7</v>
      </c>
      <c r="K556" t="s">
        <v>26</v>
      </c>
      <c r="L556" t="s">
        <v>78</v>
      </c>
    </row>
    <row r="557" spans="1:12" x14ac:dyDescent="0.35">
      <c r="A557" t="s">
        <v>667</v>
      </c>
      <c r="B557" s="4">
        <v>45571</v>
      </c>
      <c r="C557" t="s">
        <v>35</v>
      </c>
      <c r="D557" t="s">
        <v>50</v>
      </c>
      <c r="E557" t="s">
        <v>15</v>
      </c>
      <c r="F557" t="s">
        <v>30</v>
      </c>
      <c r="G557" t="s">
        <v>340</v>
      </c>
      <c r="H557">
        <v>2332.3200000000002</v>
      </c>
      <c r="I557">
        <v>352.26</v>
      </c>
      <c r="J557">
        <v>8</v>
      </c>
      <c r="K557" t="s">
        <v>18</v>
      </c>
      <c r="L557" t="s">
        <v>61</v>
      </c>
    </row>
    <row r="558" spans="1:12" x14ac:dyDescent="0.35">
      <c r="A558" t="s">
        <v>1100</v>
      </c>
      <c r="B558" s="4">
        <v>45649</v>
      </c>
      <c r="C558" t="s">
        <v>13</v>
      </c>
      <c r="D558" t="s">
        <v>29</v>
      </c>
      <c r="E558" t="s">
        <v>23</v>
      </c>
      <c r="F558" t="s">
        <v>69</v>
      </c>
      <c r="G558" t="s">
        <v>519</v>
      </c>
      <c r="H558">
        <v>2329.9</v>
      </c>
      <c r="I558">
        <v>257.62</v>
      </c>
      <c r="J558">
        <v>6</v>
      </c>
      <c r="K558" t="s">
        <v>26</v>
      </c>
      <c r="L558" t="s">
        <v>58</v>
      </c>
    </row>
    <row r="559" spans="1:12" x14ac:dyDescent="0.35">
      <c r="A559" t="s">
        <v>573</v>
      </c>
      <c r="B559" s="4">
        <v>45307</v>
      </c>
      <c r="C559" t="s">
        <v>46</v>
      </c>
      <c r="D559" t="s">
        <v>47</v>
      </c>
      <c r="E559" t="s">
        <v>15</v>
      </c>
      <c r="F559" t="s">
        <v>40</v>
      </c>
      <c r="G559" t="s">
        <v>176</v>
      </c>
      <c r="H559">
        <v>2325.5700000000002</v>
      </c>
      <c r="I559">
        <v>732.07</v>
      </c>
      <c r="J559">
        <v>1</v>
      </c>
      <c r="K559" t="s">
        <v>18</v>
      </c>
      <c r="L559" t="s">
        <v>19</v>
      </c>
    </row>
    <row r="560" spans="1:12" x14ac:dyDescent="0.35">
      <c r="A560" t="s">
        <v>856</v>
      </c>
      <c r="B560" s="4">
        <v>45564</v>
      </c>
      <c r="C560" t="s">
        <v>21</v>
      </c>
      <c r="D560" t="s">
        <v>65</v>
      </c>
      <c r="E560" t="s">
        <v>23</v>
      </c>
      <c r="F560" t="s">
        <v>69</v>
      </c>
      <c r="G560" t="s">
        <v>98</v>
      </c>
      <c r="H560">
        <v>2322.5500000000002</v>
      </c>
      <c r="I560">
        <v>729.11</v>
      </c>
      <c r="J560">
        <v>6</v>
      </c>
      <c r="K560" t="s">
        <v>26</v>
      </c>
      <c r="L560" t="s">
        <v>42</v>
      </c>
    </row>
    <row r="561" spans="1:12" x14ac:dyDescent="0.35">
      <c r="A561" t="s">
        <v>874</v>
      </c>
      <c r="B561" s="4">
        <v>45313</v>
      </c>
      <c r="C561" t="s">
        <v>21</v>
      </c>
      <c r="D561" t="s">
        <v>134</v>
      </c>
      <c r="E561" t="s">
        <v>23</v>
      </c>
      <c r="F561" t="s">
        <v>69</v>
      </c>
      <c r="G561" t="s">
        <v>161</v>
      </c>
      <c r="H561">
        <v>2318.21</v>
      </c>
      <c r="I561">
        <v>480.8</v>
      </c>
      <c r="J561">
        <v>1</v>
      </c>
      <c r="K561" t="s">
        <v>26</v>
      </c>
      <c r="L561" t="s">
        <v>58</v>
      </c>
    </row>
    <row r="562" spans="1:12" x14ac:dyDescent="0.35">
      <c r="A562" t="s">
        <v>917</v>
      </c>
      <c r="B562" s="4">
        <v>45592</v>
      </c>
      <c r="C562" t="s">
        <v>35</v>
      </c>
      <c r="D562" t="s">
        <v>39</v>
      </c>
      <c r="E562" t="s">
        <v>15</v>
      </c>
      <c r="F562" t="s">
        <v>30</v>
      </c>
      <c r="G562" t="s">
        <v>57</v>
      </c>
      <c r="H562">
        <v>2308.67</v>
      </c>
      <c r="I562">
        <v>767.84</v>
      </c>
      <c r="J562">
        <v>10</v>
      </c>
      <c r="K562" t="s">
        <v>26</v>
      </c>
      <c r="L562" t="s">
        <v>42</v>
      </c>
    </row>
    <row r="563" spans="1:12" x14ac:dyDescent="0.35">
      <c r="A563" t="s">
        <v>376</v>
      </c>
      <c r="B563" s="4">
        <v>45633</v>
      </c>
      <c r="C563" t="s">
        <v>35</v>
      </c>
      <c r="D563" t="s">
        <v>39</v>
      </c>
      <c r="E563" t="s">
        <v>51</v>
      </c>
      <c r="F563" t="s">
        <v>66</v>
      </c>
      <c r="G563" t="s">
        <v>362</v>
      </c>
      <c r="H563">
        <v>2305.9899999999998</v>
      </c>
      <c r="I563">
        <v>237.24</v>
      </c>
      <c r="J563">
        <v>9</v>
      </c>
      <c r="K563" t="s">
        <v>18</v>
      </c>
      <c r="L563" t="s">
        <v>19</v>
      </c>
    </row>
    <row r="564" spans="1:12" x14ac:dyDescent="0.35">
      <c r="A564" t="s">
        <v>1192</v>
      </c>
      <c r="B564" s="4">
        <v>45314</v>
      </c>
      <c r="C564" t="s">
        <v>46</v>
      </c>
      <c r="D564" t="s">
        <v>89</v>
      </c>
      <c r="E564" t="s">
        <v>51</v>
      </c>
      <c r="F564" t="s">
        <v>52</v>
      </c>
      <c r="G564" t="s">
        <v>121</v>
      </c>
      <c r="H564">
        <v>2302.35</v>
      </c>
      <c r="I564">
        <v>777.87</v>
      </c>
      <c r="J564">
        <v>4</v>
      </c>
      <c r="K564" t="s">
        <v>18</v>
      </c>
      <c r="L564" t="s">
        <v>78</v>
      </c>
    </row>
    <row r="565" spans="1:12" x14ac:dyDescent="0.35">
      <c r="A565" t="s">
        <v>475</v>
      </c>
      <c r="B565" s="4">
        <v>45493</v>
      </c>
      <c r="C565" t="s">
        <v>13</v>
      </c>
      <c r="D565" t="s">
        <v>14</v>
      </c>
      <c r="E565" t="s">
        <v>15</v>
      </c>
      <c r="F565" t="s">
        <v>30</v>
      </c>
      <c r="G565" t="s">
        <v>63</v>
      </c>
      <c r="H565">
        <v>2294.41</v>
      </c>
      <c r="I565">
        <v>540.1</v>
      </c>
      <c r="J565">
        <v>5</v>
      </c>
      <c r="K565" t="s">
        <v>32</v>
      </c>
      <c r="L565" t="s">
        <v>42</v>
      </c>
    </row>
    <row r="566" spans="1:12" x14ac:dyDescent="0.35">
      <c r="A566" t="s">
        <v>266</v>
      </c>
      <c r="B566" s="4">
        <v>45495</v>
      </c>
      <c r="C566" t="s">
        <v>13</v>
      </c>
      <c r="D566" t="s">
        <v>14</v>
      </c>
      <c r="E566" t="s">
        <v>51</v>
      </c>
      <c r="F566" t="s">
        <v>74</v>
      </c>
      <c r="G566" t="s">
        <v>267</v>
      </c>
      <c r="H566">
        <v>2293.0500000000002</v>
      </c>
      <c r="I566">
        <v>685.57</v>
      </c>
      <c r="J566">
        <v>1</v>
      </c>
      <c r="K566" t="s">
        <v>32</v>
      </c>
      <c r="L566" t="s">
        <v>78</v>
      </c>
    </row>
    <row r="567" spans="1:12" x14ac:dyDescent="0.35">
      <c r="A567" t="s">
        <v>673</v>
      </c>
      <c r="B567" s="4">
        <v>45319</v>
      </c>
      <c r="C567" t="s">
        <v>46</v>
      </c>
      <c r="D567" t="s">
        <v>56</v>
      </c>
      <c r="E567" t="s">
        <v>15</v>
      </c>
      <c r="F567" t="s">
        <v>30</v>
      </c>
      <c r="G567" t="s">
        <v>83</v>
      </c>
      <c r="H567">
        <v>2290.3000000000002</v>
      </c>
      <c r="I567">
        <v>751.78</v>
      </c>
      <c r="J567">
        <v>3</v>
      </c>
      <c r="K567" t="s">
        <v>18</v>
      </c>
      <c r="L567" t="s">
        <v>19</v>
      </c>
    </row>
    <row r="568" spans="1:12" x14ac:dyDescent="0.35">
      <c r="A568" t="s">
        <v>1187</v>
      </c>
      <c r="B568" s="4">
        <v>45347</v>
      </c>
      <c r="C568" t="s">
        <v>13</v>
      </c>
      <c r="D568" t="s">
        <v>82</v>
      </c>
      <c r="E568" t="s">
        <v>23</v>
      </c>
      <c r="F568" t="s">
        <v>24</v>
      </c>
      <c r="G568" t="s">
        <v>153</v>
      </c>
      <c r="H568">
        <v>2280.1799999999998</v>
      </c>
      <c r="I568">
        <v>673.71</v>
      </c>
      <c r="J568">
        <v>9</v>
      </c>
      <c r="K568" t="s">
        <v>26</v>
      </c>
      <c r="L568" t="s">
        <v>19</v>
      </c>
    </row>
    <row r="569" spans="1:12" x14ac:dyDescent="0.35">
      <c r="A569" t="s">
        <v>991</v>
      </c>
      <c r="B569" s="4">
        <v>45382</v>
      </c>
      <c r="C569" t="s">
        <v>35</v>
      </c>
      <c r="D569" t="s">
        <v>36</v>
      </c>
      <c r="E569" t="s">
        <v>15</v>
      </c>
      <c r="F569" t="s">
        <v>30</v>
      </c>
      <c r="G569" t="s">
        <v>72</v>
      </c>
      <c r="H569">
        <v>2269.71</v>
      </c>
      <c r="I569">
        <v>572.12</v>
      </c>
      <c r="J569">
        <v>3</v>
      </c>
      <c r="K569" t="s">
        <v>26</v>
      </c>
      <c r="L569" t="s">
        <v>54</v>
      </c>
    </row>
    <row r="570" spans="1:12" x14ac:dyDescent="0.35">
      <c r="A570" t="s">
        <v>742</v>
      </c>
      <c r="B570" s="4">
        <v>45444</v>
      </c>
      <c r="C570" t="s">
        <v>13</v>
      </c>
      <c r="D570" t="s">
        <v>29</v>
      </c>
      <c r="E570" t="s">
        <v>51</v>
      </c>
      <c r="F570" t="s">
        <v>74</v>
      </c>
      <c r="G570" t="s">
        <v>593</v>
      </c>
      <c r="H570">
        <v>2265.4299999999998</v>
      </c>
      <c r="I570">
        <v>542.51</v>
      </c>
      <c r="J570">
        <v>6</v>
      </c>
      <c r="K570" t="s">
        <v>32</v>
      </c>
      <c r="L570" t="s">
        <v>78</v>
      </c>
    </row>
    <row r="571" spans="1:12" x14ac:dyDescent="0.35">
      <c r="A571" t="s">
        <v>1161</v>
      </c>
      <c r="B571" s="4">
        <v>45573</v>
      </c>
      <c r="C571" t="s">
        <v>13</v>
      </c>
      <c r="D571" t="s">
        <v>14</v>
      </c>
      <c r="E571" t="s">
        <v>15</v>
      </c>
      <c r="F571" t="s">
        <v>16</v>
      </c>
      <c r="G571" t="s">
        <v>17</v>
      </c>
      <c r="H571">
        <v>2254.37</v>
      </c>
      <c r="I571">
        <v>261.97000000000003</v>
      </c>
      <c r="J571">
        <v>7</v>
      </c>
      <c r="K571" t="s">
        <v>18</v>
      </c>
      <c r="L571" t="s">
        <v>61</v>
      </c>
    </row>
    <row r="572" spans="1:12" x14ac:dyDescent="0.35">
      <c r="A572" t="s">
        <v>855</v>
      </c>
      <c r="B572" s="4">
        <v>45417</v>
      </c>
      <c r="C572" t="s">
        <v>21</v>
      </c>
      <c r="D572" t="s">
        <v>65</v>
      </c>
      <c r="E572" t="s">
        <v>15</v>
      </c>
      <c r="F572" t="s">
        <v>40</v>
      </c>
      <c r="G572" t="s">
        <v>458</v>
      </c>
      <c r="H572">
        <v>2247.3200000000002</v>
      </c>
      <c r="I572">
        <v>447.24</v>
      </c>
      <c r="J572">
        <v>6</v>
      </c>
      <c r="K572" t="s">
        <v>32</v>
      </c>
      <c r="L572" t="s">
        <v>33</v>
      </c>
    </row>
    <row r="573" spans="1:12" x14ac:dyDescent="0.35">
      <c r="A573" t="s">
        <v>1054</v>
      </c>
      <c r="B573" s="4">
        <v>45567</v>
      </c>
      <c r="C573" t="s">
        <v>46</v>
      </c>
      <c r="D573" t="s">
        <v>56</v>
      </c>
      <c r="E573" t="s">
        <v>51</v>
      </c>
      <c r="F573" t="s">
        <v>74</v>
      </c>
      <c r="G573" t="s">
        <v>132</v>
      </c>
      <c r="H573">
        <v>2241.75</v>
      </c>
      <c r="I573">
        <v>251.08</v>
      </c>
      <c r="J573">
        <v>7</v>
      </c>
      <c r="K573" t="s">
        <v>18</v>
      </c>
      <c r="L573" t="s">
        <v>27</v>
      </c>
    </row>
    <row r="574" spans="1:12" x14ac:dyDescent="0.35">
      <c r="A574" t="s">
        <v>945</v>
      </c>
      <c r="B574" s="4">
        <v>45504</v>
      </c>
      <c r="C574" t="s">
        <v>21</v>
      </c>
      <c r="D574" t="s">
        <v>134</v>
      </c>
      <c r="E574" t="s">
        <v>51</v>
      </c>
      <c r="F574" t="s">
        <v>52</v>
      </c>
      <c r="G574" t="s">
        <v>121</v>
      </c>
      <c r="H574">
        <v>2231.38</v>
      </c>
      <c r="I574">
        <v>592.16999999999996</v>
      </c>
      <c r="J574">
        <v>1</v>
      </c>
      <c r="K574" t="s">
        <v>18</v>
      </c>
      <c r="L574" t="s">
        <v>61</v>
      </c>
    </row>
    <row r="575" spans="1:12" x14ac:dyDescent="0.35">
      <c r="A575" t="s">
        <v>802</v>
      </c>
      <c r="B575" s="4">
        <v>45558</v>
      </c>
      <c r="C575" t="s">
        <v>46</v>
      </c>
      <c r="D575" t="s">
        <v>56</v>
      </c>
      <c r="E575" t="s">
        <v>51</v>
      </c>
      <c r="F575" t="s">
        <v>74</v>
      </c>
      <c r="G575" t="s">
        <v>187</v>
      </c>
      <c r="H575">
        <v>2230.67</v>
      </c>
      <c r="I575">
        <v>642.32000000000005</v>
      </c>
      <c r="J575">
        <v>3</v>
      </c>
      <c r="K575" t="s">
        <v>32</v>
      </c>
      <c r="L575" t="s">
        <v>54</v>
      </c>
    </row>
    <row r="576" spans="1:12" x14ac:dyDescent="0.35">
      <c r="A576" t="s">
        <v>746</v>
      </c>
      <c r="B576" s="4">
        <v>45482</v>
      </c>
      <c r="C576" t="s">
        <v>21</v>
      </c>
      <c r="D576" t="s">
        <v>65</v>
      </c>
      <c r="E576" t="s">
        <v>51</v>
      </c>
      <c r="F576" t="s">
        <v>66</v>
      </c>
      <c r="G576" t="s">
        <v>138</v>
      </c>
      <c r="H576">
        <v>2229.7600000000002</v>
      </c>
      <c r="I576">
        <v>690.19</v>
      </c>
      <c r="J576">
        <v>7</v>
      </c>
      <c r="K576" t="s">
        <v>26</v>
      </c>
      <c r="L576" t="s">
        <v>78</v>
      </c>
    </row>
    <row r="577" spans="1:12" x14ac:dyDescent="0.35">
      <c r="A577" t="s">
        <v>366</v>
      </c>
      <c r="B577" s="4">
        <v>45436</v>
      </c>
      <c r="C577" t="s">
        <v>46</v>
      </c>
      <c r="D577" t="s">
        <v>89</v>
      </c>
      <c r="E577" t="s">
        <v>51</v>
      </c>
      <c r="F577" t="s">
        <v>74</v>
      </c>
      <c r="G577" t="s">
        <v>256</v>
      </c>
      <c r="H577">
        <v>2225.9899999999998</v>
      </c>
      <c r="I577">
        <v>164.58</v>
      </c>
      <c r="J577">
        <v>1</v>
      </c>
      <c r="K577" t="s">
        <v>26</v>
      </c>
      <c r="L577" t="s">
        <v>58</v>
      </c>
    </row>
    <row r="578" spans="1:12" x14ac:dyDescent="0.35">
      <c r="A578" t="s">
        <v>1078</v>
      </c>
      <c r="B578" s="4">
        <v>45336</v>
      </c>
      <c r="C578" t="s">
        <v>35</v>
      </c>
      <c r="D578" t="s">
        <v>39</v>
      </c>
      <c r="E578" t="s">
        <v>15</v>
      </c>
      <c r="F578" t="s">
        <v>30</v>
      </c>
      <c r="G578" t="s">
        <v>83</v>
      </c>
      <c r="H578">
        <v>2225.5700000000002</v>
      </c>
      <c r="I578">
        <v>192.46</v>
      </c>
      <c r="J578">
        <v>10</v>
      </c>
      <c r="K578" t="s">
        <v>26</v>
      </c>
      <c r="L578" t="s">
        <v>54</v>
      </c>
    </row>
    <row r="579" spans="1:12" x14ac:dyDescent="0.35">
      <c r="A579" t="s">
        <v>919</v>
      </c>
      <c r="B579" s="4">
        <v>45516</v>
      </c>
      <c r="C579" t="s">
        <v>46</v>
      </c>
      <c r="D579" t="s">
        <v>47</v>
      </c>
      <c r="E579" t="s">
        <v>51</v>
      </c>
      <c r="F579" t="s">
        <v>66</v>
      </c>
      <c r="G579" t="s">
        <v>96</v>
      </c>
      <c r="H579">
        <v>2220.5</v>
      </c>
      <c r="I579">
        <v>312.38</v>
      </c>
      <c r="J579">
        <v>5</v>
      </c>
      <c r="K579" t="s">
        <v>18</v>
      </c>
      <c r="L579" t="s">
        <v>54</v>
      </c>
    </row>
    <row r="580" spans="1:12" x14ac:dyDescent="0.35">
      <c r="A580" t="s">
        <v>1203</v>
      </c>
      <c r="B580" s="4">
        <v>45539</v>
      </c>
      <c r="C580" t="s">
        <v>21</v>
      </c>
      <c r="D580" t="s">
        <v>22</v>
      </c>
      <c r="E580" t="s">
        <v>51</v>
      </c>
      <c r="F580" t="s">
        <v>74</v>
      </c>
      <c r="G580" t="s">
        <v>373</v>
      </c>
      <c r="H580">
        <v>2217.77</v>
      </c>
      <c r="I580">
        <v>402.77</v>
      </c>
      <c r="J580">
        <v>8</v>
      </c>
      <c r="K580" t="s">
        <v>32</v>
      </c>
      <c r="L580" t="s">
        <v>19</v>
      </c>
    </row>
    <row r="581" spans="1:12" x14ac:dyDescent="0.35">
      <c r="A581" t="s">
        <v>1094</v>
      </c>
      <c r="B581" s="4">
        <v>45571</v>
      </c>
      <c r="C581" t="s">
        <v>13</v>
      </c>
      <c r="D581" t="s">
        <v>82</v>
      </c>
      <c r="E581" t="s">
        <v>15</v>
      </c>
      <c r="F581" t="s">
        <v>40</v>
      </c>
      <c r="G581" t="s">
        <v>347</v>
      </c>
      <c r="H581">
        <v>2206.09</v>
      </c>
      <c r="I581">
        <v>696.72</v>
      </c>
      <c r="J581">
        <v>9</v>
      </c>
      <c r="K581" t="s">
        <v>26</v>
      </c>
      <c r="L581" t="s">
        <v>42</v>
      </c>
    </row>
    <row r="582" spans="1:12" x14ac:dyDescent="0.35">
      <c r="A582" t="s">
        <v>45</v>
      </c>
      <c r="B582" s="4">
        <v>45472</v>
      </c>
      <c r="C582" t="s">
        <v>46</v>
      </c>
      <c r="D582" t="s">
        <v>47</v>
      </c>
      <c r="E582" t="s">
        <v>15</v>
      </c>
      <c r="F582" t="s">
        <v>30</v>
      </c>
      <c r="G582" t="s">
        <v>48</v>
      </c>
      <c r="H582">
        <v>2203.6</v>
      </c>
      <c r="I582">
        <v>321.54000000000002</v>
      </c>
      <c r="J582">
        <v>9</v>
      </c>
      <c r="K582" t="s">
        <v>18</v>
      </c>
      <c r="L582" t="s">
        <v>19</v>
      </c>
    </row>
    <row r="583" spans="1:12" x14ac:dyDescent="0.35">
      <c r="A583" t="s">
        <v>781</v>
      </c>
      <c r="B583" s="4">
        <v>45651</v>
      </c>
      <c r="C583" t="s">
        <v>35</v>
      </c>
      <c r="D583" t="s">
        <v>50</v>
      </c>
      <c r="E583" t="s">
        <v>51</v>
      </c>
      <c r="F583" t="s">
        <v>52</v>
      </c>
      <c r="G583" t="s">
        <v>385</v>
      </c>
      <c r="H583">
        <v>2195.89</v>
      </c>
      <c r="I583">
        <v>684.03</v>
      </c>
      <c r="J583">
        <v>10</v>
      </c>
      <c r="K583" t="s">
        <v>32</v>
      </c>
      <c r="L583" t="s">
        <v>42</v>
      </c>
    </row>
    <row r="584" spans="1:12" x14ac:dyDescent="0.35">
      <c r="A584" t="s">
        <v>608</v>
      </c>
      <c r="B584" s="4">
        <v>45599</v>
      </c>
      <c r="C584" t="s">
        <v>46</v>
      </c>
      <c r="D584" t="s">
        <v>47</v>
      </c>
      <c r="E584" t="s">
        <v>15</v>
      </c>
      <c r="F584" t="s">
        <v>40</v>
      </c>
      <c r="G584" t="s">
        <v>609</v>
      </c>
      <c r="H584">
        <v>2190.2199999999998</v>
      </c>
      <c r="I584">
        <v>380.62</v>
      </c>
      <c r="J584">
        <v>2</v>
      </c>
      <c r="K584" t="s">
        <v>26</v>
      </c>
      <c r="L584" t="s">
        <v>78</v>
      </c>
    </row>
    <row r="585" spans="1:12" x14ac:dyDescent="0.35">
      <c r="A585" t="s">
        <v>1001</v>
      </c>
      <c r="B585" s="4">
        <v>45497</v>
      </c>
      <c r="C585" t="s">
        <v>13</v>
      </c>
      <c r="D585" t="s">
        <v>14</v>
      </c>
      <c r="E585" t="s">
        <v>23</v>
      </c>
      <c r="F585" t="s">
        <v>24</v>
      </c>
      <c r="G585" t="s">
        <v>404</v>
      </c>
      <c r="H585">
        <v>2189.33</v>
      </c>
      <c r="I585">
        <v>587.04</v>
      </c>
      <c r="J585">
        <v>4</v>
      </c>
      <c r="K585" t="s">
        <v>26</v>
      </c>
      <c r="L585" t="s">
        <v>19</v>
      </c>
    </row>
    <row r="586" spans="1:12" x14ac:dyDescent="0.35">
      <c r="A586" t="s">
        <v>1045</v>
      </c>
      <c r="B586" s="4">
        <v>45594</v>
      </c>
      <c r="C586" t="s">
        <v>21</v>
      </c>
      <c r="D586" t="s">
        <v>65</v>
      </c>
      <c r="E586" t="s">
        <v>23</v>
      </c>
      <c r="F586" t="s">
        <v>92</v>
      </c>
      <c r="G586" t="s">
        <v>333</v>
      </c>
      <c r="H586">
        <v>2168.94</v>
      </c>
      <c r="I586">
        <v>195.44</v>
      </c>
      <c r="J586">
        <v>9</v>
      </c>
      <c r="K586" t="s">
        <v>32</v>
      </c>
      <c r="L586" t="s">
        <v>19</v>
      </c>
    </row>
    <row r="587" spans="1:12" x14ac:dyDescent="0.35">
      <c r="A587" t="s">
        <v>870</v>
      </c>
      <c r="B587" s="4">
        <v>45336</v>
      </c>
      <c r="C587" t="s">
        <v>35</v>
      </c>
      <c r="D587" t="s">
        <v>50</v>
      </c>
      <c r="E587" t="s">
        <v>15</v>
      </c>
      <c r="F587" t="s">
        <v>40</v>
      </c>
      <c r="G587" t="s">
        <v>458</v>
      </c>
      <c r="H587">
        <v>2149.8200000000002</v>
      </c>
      <c r="I587">
        <v>286.60000000000002</v>
      </c>
      <c r="J587">
        <v>1</v>
      </c>
      <c r="K587" t="s">
        <v>18</v>
      </c>
      <c r="L587" t="s">
        <v>58</v>
      </c>
    </row>
    <row r="588" spans="1:12" x14ac:dyDescent="0.35">
      <c r="A588" t="s">
        <v>429</v>
      </c>
      <c r="B588" s="4">
        <v>45440</v>
      </c>
      <c r="C588" t="s">
        <v>13</v>
      </c>
      <c r="D588" t="s">
        <v>82</v>
      </c>
      <c r="E588" t="s">
        <v>51</v>
      </c>
      <c r="F588" t="s">
        <v>52</v>
      </c>
      <c r="G588" t="s">
        <v>111</v>
      </c>
      <c r="H588">
        <v>2148.7399999999998</v>
      </c>
      <c r="I588">
        <v>633.29</v>
      </c>
      <c r="J588">
        <v>6</v>
      </c>
      <c r="K588" t="s">
        <v>18</v>
      </c>
      <c r="L588" t="s">
        <v>78</v>
      </c>
    </row>
    <row r="589" spans="1:12" x14ac:dyDescent="0.35">
      <c r="A589" t="s">
        <v>625</v>
      </c>
      <c r="B589" s="4">
        <v>45641</v>
      </c>
      <c r="C589" t="s">
        <v>35</v>
      </c>
      <c r="D589" t="s">
        <v>36</v>
      </c>
      <c r="E589" t="s">
        <v>15</v>
      </c>
      <c r="F589" t="s">
        <v>40</v>
      </c>
      <c r="G589" t="s">
        <v>144</v>
      </c>
      <c r="H589">
        <v>2147.23</v>
      </c>
      <c r="I589">
        <v>184.02</v>
      </c>
      <c r="J589">
        <v>6</v>
      </c>
      <c r="K589" t="s">
        <v>32</v>
      </c>
      <c r="L589" t="s">
        <v>54</v>
      </c>
    </row>
    <row r="590" spans="1:12" x14ac:dyDescent="0.35">
      <c r="A590" t="s">
        <v>916</v>
      </c>
      <c r="B590" s="4">
        <v>45385</v>
      </c>
      <c r="C590" t="s">
        <v>21</v>
      </c>
      <c r="D590" t="s">
        <v>134</v>
      </c>
      <c r="E590" t="s">
        <v>51</v>
      </c>
      <c r="F590" t="s">
        <v>66</v>
      </c>
      <c r="G590" t="s">
        <v>206</v>
      </c>
      <c r="H590">
        <v>2144.61</v>
      </c>
      <c r="I590">
        <v>416.86</v>
      </c>
      <c r="J590">
        <v>6</v>
      </c>
      <c r="K590" t="s">
        <v>26</v>
      </c>
      <c r="L590" t="s">
        <v>78</v>
      </c>
    </row>
    <row r="591" spans="1:12" x14ac:dyDescent="0.35">
      <c r="A591" t="s">
        <v>418</v>
      </c>
      <c r="B591" s="4">
        <v>45334</v>
      </c>
      <c r="C591" t="s">
        <v>13</v>
      </c>
      <c r="D591" t="s">
        <v>14</v>
      </c>
      <c r="E591" t="s">
        <v>51</v>
      </c>
      <c r="F591" t="s">
        <v>52</v>
      </c>
      <c r="G591" t="s">
        <v>53</v>
      </c>
      <c r="H591">
        <v>2144.1</v>
      </c>
      <c r="I591">
        <v>300.41000000000003</v>
      </c>
      <c r="J591">
        <v>5</v>
      </c>
      <c r="K591" t="s">
        <v>32</v>
      </c>
      <c r="L591" t="s">
        <v>42</v>
      </c>
    </row>
    <row r="592" spans="1:12" x14ac:dyDescent="0.35">
      <c r="A592" t="s">
        <v>1137</v>
      </c>
      <c r="B592" s="4">
        <v>45634</v>
      </c>
      <c r="C592" t="s">
        <v>21</v>
      </c>
      <c r="D592" t="s">
        <v>134</v>
      </c>
      <c r="E592" t="s">
        <v>51</v>
      </c>
      <c r="F592" t="s">
        <v>52</v>
      </c>
      <c r="G592" t="s">
        <v>221</v>
      </c>
      <c r="H592">
        <v>2135.63</v>
      </c>
      <c r="I592">
        <v>208.37</v>
      </c>
      <c r="J592">
        <v>8</v>
      </c>
      <c r="K592" t="s">
        <v>32</v>
      </c>
      <c r="L592" t="s">
        <v>27</v>
      </c>
    </row>
    <row r="593" spans="1:12" x14ac:dyDescent="0.35">
      <c r="A593" t="s">
        <v>1041</v>
      </c>
      <c r="B593" s="4">
        <v>45371</v>
      </c>
      <c r="C593" t="s">
        <v>13</v>
      </c>
      <c r="D593" t="s">
        <v>82</v>
      </c>
      <c r="E593" t="s">
        <v>23</v>
      </c>
      <c r="F593" t="s">
        <v>24</v>
      </c>
      <c r="G593" t="s">
        <v>190</v>
      </c>
      <c r="H593">
        <v>2131.7199999999998</v>
      </c>
      <c r="I593">
        <v>553.85</v>
      </c>
      <c r="J593">
        <v>6</v>
      </c>
      <c r="K593" t="s">
        <v>18</v>
      </c>
      <c r="L593" t="s">
        <v>61</v>
      </c>
    </row>
    <row r="594" spans="1:12" x14ac:dyDescent="0.35">
      <c r="A594" t="s">
        <v>250</v>
      </c>
      <c r="B594" s="4">
        <v>45439</v>
      </c>
      <c r="C594" t="s">
        <v>13</v>
      </c>
      <c r="D594" t="s">
        <v>82</v>
      </c>
      <c r="E594" t="s">
        <v>51</v>
      </c>
      <c r="F594" t="s">
        <v>74</v>
      </c>
      <c r="G594" t="s">
        <v>251</v>
      </c>
      <c r="H594">
        <v>2128.8000000000002</v>
      </c>
      <c r="I594">
        <v>279.05</v>
      </c>
      <c r="J594">
        <v>7</v>
      </c>
      <c r="K594" t="s">
        <v>26</v>
      </c>
      <c r="L594" t="s">
        <v>42</v>
      </c>
    </row>
    <row r="595" spans="1:12" x14ac:dyDescent="0.35">
      <c r="A595" t="s">
        <v>437</v>
      </c>
      <c r="B595" s="4">
        <v>45656</v>
      </c>
      <c r="C595" t="s">
        <v>13</v>
      </c>
      <c r="D595" t="s">
        <v>14</v>
      </c>
      <c r="E595" t="s">
        <v>15</v>
      </c>
      <c r="F595" t="s">
        <v>30</v>
      </c>
      <c r="G595" t="s">
        <v>105</v>
      </c>
      <c r="H595">
        <v>2126.37</v>
      </c>
      <c r="I595">
        <v>379.94</v>
      </c>
      <c r="J595">
        <v>4</v>
      </c>
      <c r="K595" t="s">
        <v>18</v>
      </c>
      <c r="L595" t="s">
        <v>42</v>
      </c>
    </row>
    <row r="596" spans="1:12" x14ac:dyDescent="0.35">
      <c r="A596" t="s">
        <v>84</v>
      </c>
      <c r="B596" s="4">
        <v>45626</v>
      </c>
      <c r="C596" t="s">
        <v>13</v>
      </c>
      <c r="D596" t="s">
        <v>14</v>
      </c>
      <c r="E596" t="s">
        <v>51</v>
      </c>
      <c r="F596" t="s">
        <v>66</v>
      </c>
      <c r="G596" t="s">
        <v>85</v>
      </c>
      <c r="H596">
        <v>2122.34</v>
      </c>
      <c r="I596">
        <v>636.79999999999995</v>
      </c>
      <c r="J596">
        <v>2</v>
      </c>
      <c r="K596" t="s">
        <v>26</v>
      </c>
      <c r="L596" t="s">
        <v>58</v>
      </c>
    </row>
    <row r="597" spans="1:12" x14ac:dyDescent="0.35">
      <c r="A597" t="s">
        <v>846</v>
      </c>
      <c r="B597" s="4">
        <v>45485</v>
      </c>
      <c r="C597" t="s">
        <v>13</v>
      </c>
      <c r="D597" t="s">
        <v>14</v>
      </c>
      <c r="E597" t="s">
        <v>51</v>
      </c>
      <c r="F597" t="s">
        <v>52</v>
      </c>
      <c r="G597" t="s">
        <v>385</v>
      </c>
      <c r="H597">
        <v>2117.64</v>
      </c>
      <c r="I597">
        <v>394.59</v>
      </c>
      <c r="J597">
        <v>1</v>
      </c>
      <c r="K597" t="s">
        <v>32</v>
      </c>
      <c r="L597" t="s">
        <v>33</v>
      </c>
    </row>
    <row r="598" spans="1:12" x14ac:dyDescent="0.35">
      <c r="A598" t="s">
        <v>124</v>
      </c>
      <c r="B598" s="4">
        <v>45528</v>
      </c>
      <c r="C598" t="s">
        <v>46</v>
      </c>
      <c r="D598" t="s">
        <v>47</v>
      </c>
      <c r="E598" t="s">
        <v>15</v>
      </c>
      <c r="F598" t="s">
        <v>16</v>
      </c>
      <c r="G598" t="s">
        <v>125</v>
      </c>
      <c r="H598">
        <v>2116.86</v>
      </c>
      <c r="I598">
        <v>704.9</v>
      </c>
      <c r="J598">
        <v>5</v>
      </c>
      <c r="K598" t="s">
        <v>18</v>
      </c>
      <c r="L598" t="s">
        <v>58</v>
      </c>
    </row>
    <row r="599" spans="1:12" x14ac:dyDescent="0.35">
      <c r="A599" t="s">
        <v>653</v>
      </c>
      <c r="B599" s="4">
        <v>45507</v>
      </c>
      <c r="C599" t="s">
        <v>35</v>
      </c>
      <c r="D599" t="s">
        <v>36</v>
      </c>
      <c r="E599" t="s">
        <v>15</v>
      </c>
      <c r="F599" t="s">
        <v>16</v>
      </c>
      <c r="G599" t="s">
        <v>654</v>
      </c>
      <c r="H599">
        <v>2113.6799999999998</v>
      </c>
      <c r="I599">
        <v>312.39999999999998</v>
      </c>
      <c r="J599">
        <v>1</v>
      </c>
      <c r="K599" t="s">
        <v>18</v>
      </c>
      <c r="L599" t="s">
        <v>61</v>
      </c>
    </row>
    <row r="600" spans="1:12" x14ac:dyDescent="0.35">
      <c r="A600" t="s">
        <v>878</v>
      </c>
      <c r="B600" s="4">
        <v>45324</v>
      </c>
      <c r="C600" t="s">
        <v>21</v>
      </c>
      <c r="D600" t="s">
        <v>65</v>
      </c>
      <c r="E600" t="s">
        <v>15</v>
      </c>
      <c r="F600" t="s">
        <v>16</v>
      </c>
      <c r="G600" t="s">
        <v>449</v>
      </c>
      <c r="H600">
        <v>2108.2199999999998</v>
      </c>
      <c r="I600">
        <v>419.44</v>
      </c>
      <c r="J600">
        <v>9</v>
      </c>
      <c r="K600" t="s">
        <v>26</v>
      </c>
      <c r="L600" t="s">
        <v>58</v>
      </c>
    </row>
    <row r="601" spans="1:12" x14ac:dyDescent="0.35">
      <c r="A601" t="s">
        <v>227</v>
      </c>
      <c r="B601" s="4">
        <v>45406</v>
      </c>
      <c r="C601" t="s">
        <v>46</v>
      </c>
      <c r="D601" t="s">
        <v>47</v>
      </c>
      <c r="E601" t="s">
        <v>15</v>
      </c>
      <c r="F601" t="s">
        <v>30</v>
      </c>
      <c r="G601" t="s">
        <v>57</v>
      </c>
      <c r="H601">
        <v>2099.6799999999998</v>
      </c>
      <c r="I601">
        <v>311.72000000000003</v>
      </c>
      <c r="J601">
        <v>8</v>
      </c>
      <c r="K601" t="s">
        <v>18</v>
      </c>
      <c r="L601" t="s">
        <v>42</v>
      </c>
    </row>
    <row r="602" spans="1:12" x14ac:dyDescent="0.35">
      <c r="A602" t="s">
        <v>753</v>
      </c>
      <c r="B602" s="4">
        <v>45406</v>
      </c>
      <c r="C602" t="s">
        <v>35</v>
      </c>
      <c r="D602" t="s">
        <v>39</v>
      </c>
      <c r="E602" t="s">
        <v>15</v>
      </c>
      <c r="F602" t="s">
        <v>30</v>
      </c>
      <c r="G602" t="s">
        <v>83</v>
      </c>
      <c r="H602">
        <v>2096.91</v>
      </c>
      <c r="I602">
        <v>503.54</v>
      </c>
      <c r="J602">
        <v>3</v>
      </c>
      <c r="K602" t="s">
        <v>32</v>
      </c>
      <c r="L602" t="s">
        <v>58</v>
      </c>
    </row>
    <row r="603" spans="1:12" x14ac:dyDescent="0.35">
      <c r="A603" t="s">
        <v>1185</v>
      </c>
      <c r="B603" s="4">
        <v>45449</v>
      </c>
      <c r="C603" t="s">
        <v>13</v>
      </c>
      <c r="D603" t="s">
        <v>29</v>
      </c>
      <c r="E603" t="s">
        <v>15</v>
      </c>
      <c r="F603" t="s">
        <v>16</v>
      </c>
      <c r="G603" t="s">
        <v>541</v>
      </c>
      <c r="H603">
        <v>2089.4499999999998</v>
      </c>
      <c r="I603">
        <v>194.66</v>
      </c>
      <c r="J603">
        <v>10</v>
      </c>
      <c r="K603" t="s">
        <v>26</v>
      </c>
      <c r="L603" t="s">
        <v>78</v>
      </c>
    </row>
    <row r="604" spans="1:12" x14ac:dyDescent="0.35">
      <c r="A604" t="s">
        <v>599</v>
      </c>
      <c r="B604" s="4">
        <v>45621</v>
      </c>
      <c r="C604" t="s">
        <v>35</v>
      </c>
      <c r="D604" t="s">
        <v>36</v>
      </c>
      <c r="E604" t="s">
        <v>51</v>
      </c>
      <c r="F604" t="s">
        <v>74</v>
      </c>
      <c r="G604" t="s">
        <v>580</v>
      </c>
      <c r="H604">
        <v>2083.5</v>
      </c>
      <c r="I604">
        <v>621.32000000000005</v>
      </c>
      <c r="J604">
        <v>10</v>
      </c>
      <c r="K604" t="s">
        <v>26</v>
      </c>
      <c r="L604" t="s">
        <v>58</v>
      </c>
    </row>
    <row r="605" spans="1:12" x14ac:dyDescent="0.35">
      <c r="A605" t="s">
        <v>631</v>
      </c>
      <c r="B605" s="4">
        <v>45497</v>
      </c>
      <c r="C605" t="s">
        <v>13</v>
      </c>
      <c r="D605" t="s">
        <v>82</v>
      </c>
      <c r="E605" t="s">
        <v>15</v>
      </c>
      <c r="F605" t="s">
        <v>30</v>
      </c>
      <c r="G605" t="s">
        <v>322</v>
      </c>
      <c r="H605">
        <v>2079.7600000000002</v>
      </c>
      <c r="I605">
        <v>619.55999999999995</v>
      </c>
      <c r="J605">
        <v>5</v>
      </c>
      <c r="K605" t="s">
        <v>32</v>
      </c>
      <c r="L605" t="s">
        <v>27</v>
      </c>
    </row>
    <row r="606" spans="1:12" x14ac:dyDescent="0.35">
      <c r="A606" t="s">
        <v>1110</v>
      </c>
      <c r="B606" s="4">
        <v>45546</v>
      </c>
      <c r="C606" t="s">
        <v>46</v>
      </c>
      <c r="D606" t="s">
        <v>89</v>
      </c>
      <c r="E606" t="s">
        <v>51</v>
      </c>
      <c r="F606" t="s">
        <v>52</v>
      </c>
      <c r="G606" t="s">
        <v>60</v>
      </c>
      <c r="H606">
        <v>2076.1</v>
      </c>
      <c r="I606">
        <v>465.88</v>
      </c>
      <c r="J606">
        <v>7</v>
      </c>
      <c r="K606" t="s">
        <v>32</v>
      </c>
      <c r="L606" t="s">
        <v>27</v>
      </c>
    </row>
    <row r="607" spans="1:12" x14ac:dyDescent="0.35">
      <c r="A607" t="s">
        <v>223</v>
      </c>
      <c r="B607" s="4">
        <v>45478</v>
      </c>
      <c r="C607" t="s">
        <v>13</v>
      </c>
      <c r="D607" t="s">
        <v>14</v>
      </c>
      <c r="E607" t="s">
        <v>51</v>
      </c>
      <c r="F607" t="s">
        <v>66</v>
      </c>
      <c r="G607" t="s">
        <v>224</v>
      </c>
      <c r="H607">
        <v>2074.2199999999998</v>
      </c>
      <c r="I607">
        <v>642.45000000000005</v>
      </c>
      <c r="J607">
        <v>9</v>
      </c>
      <c r="K607" t="s">
        <v>18</v>
      </c>
      <c r="L607" t="s">
        <v>54</v>
      </c>
    </row>
    <row r="608" spans="1:12" x14ac:dyDescent="0.35">
      <c r="A608" t="s">
        <v>1062</v>
      </c>
      <c r="B608" s="4">
        <v>45595</v>
      </c>
      <c r="C608" t="s">
        <v>46</v>
      </c>
      <c r="D608" t="s">
        <v>56</v>
      </c>
      <c r="E608" t="s">
        <v>15</v>
      </c>
      <c r="F608" t="s">
        <v>40</v>
      </c>
      <c r="G608" t="s">
        <v>544</v>
      </c>
      <c r="H608">
        <v>2067.52</v>
      </c>
      <c r="I608">
        <v>482.35</v>
      </c>
      <c r="J608">
        <v>9</v>
      </c>
      <c r="K608" t="s">
        <v>32</v>
      </c>
      <c r="L608" t="s">
        <v>61</v>
      </c>
    </row>
    <row r="609" spans="1:12" x14ac:dyDescent="0.35">
      <c r="A609" t="s">
        <v>1071</v>
      </c>
      <c r="B609" s="4">
        <v>45652</v>
      </c>
      <c r="C609" t="s">
        <v>13</v>
      </c>
      <c r="D609" t="s">
        <v>29</v>
      </c>
      <c r="E609" t="s">
        <v>51</v>
      </c>
      <c r="F609" t="s">
        <v>74</v>
      </c>
      <c r="G609" t="s">
        <v>305</v>
      </c>
      <c r="H609">
        <v>2066.38</v>
      </c>
      <c r="I609">
        <v>340.69</v>
      </c>
      <c r="J609">
        <v>10</v>
      </c>
      <c r="K609" t="s">
        <v>18</v>
      </c>
      <c r="L609" t="s">
        <v>61</v>
      </c>
    </row>
    <row r="610" spans="1:12" x14ac:dyDescent="0.35">
      <c r="A610" t="s">
        <v>618</v>
      </c>
      <c r="B610" s="4">
        <v>45419</v>
      </c>
      <c r="C610" t="s">
        <v>21</v>
      </c>
      <c r="D610" t="s">
        <v>134</v>
      </c>
      <c r="E610" t="s">
        <v>23</v>
      </c>
      <c r="F610" t="s">
        <v>24</v>
      </c>
      <c r="G610" t="s">
        <v>158</v>
      </c>
      <c r="H610">
        <v>2063.6799999999998</v>
      </c>
      <c r="I610">
        <v>107.81</v>
      </c>
      <c r="J610">
        <v>3</v>
      </c>
      <c r="K610" t="s">
        <v>18</v>
      </c>
      <c r="L610" t="s">
        <v>78</v>
      </c>
    </row>
    <row r="611" spans="1:12" x14ac:dyDescent="0.35">
      <c r="A611" t="s">
        <v>259</v>
      </c>
      <c r="B611" s="4">
        <v>45634</v>
      </c>
      <c r="C611" t="s">
        <v>21</v>
      </c>
      <c r="D611" t="s">
        <v>134</v>
      </c>
      <c r="E611" t="s">
        <v>15</v>
      </c>
      <c r="F611" t="s">
        <v>16</v>
      </c>
      <c r="G611" t="s">
        <v>181</v>
      </c>
      <c r="H611">
        <v>2059.2600000000002</v>
      </c>
      <c r="I611">
        <v>213.17</v>
      </c>
      <c r="J611">
        <v>7</v>
      </c>
      <c r="K611" t="s">
        <v>18</v>
      </c>
      <c r="L611" t="s">
        <v>27</v>
      </c>
    </row>
    <row r="612" spans="1:12" x14ac:dyDescent="0.35">
      <c r="A612" t="s">
        <v>834</v>
      </c>
      <c r="B612" s="4">
        <v>45436</v>
      </c>
      <c r="C612" t="s">
        <v>13</v>
      </c>
      <c r="D612" t="s">
        <v>14</v>
      </c>
      <c r="E612" t="s">
        <v>15</v>
      </c>
      <c r="F612" t="s">
        <v>30</v>
      </c>
      <c r="G612" t="s">
        <v>835</v>
      </c>
      <c r="H612">
        <v>2059.1799999999998</v>
      </c>
      <c r="I612">
        <v>426.04</v>
      </c>
      <c r="J612">
        <v>2</v>
      </c>
      <c r="K612" t="s">
        <v>18</v>
      </c>
      <c r="L612" t="s">
        <v>27</v>
      </c>
    </row>
    <row r="613" spans="1:12" x14ac:dyDescent="0.35">
      <c r="A613" t="s">
        <v>1209</v>
      </c>
      <c r="B613" s="4">
        <v>45452</v>
      </c>
      <c r="C613" t="s">
        <v>13</v>
      </c>
      <c r="D613" t="s">
        <v>82</v>
      </c>
      <c r="E613" t="s">
        <v>23</v>
      </c>
      <c r="F613" t="s">
        <v>24</v>
      </c>
      <c r="G613" t="s">
        <v>727</v>
      </c>
      <c r="H613">
        <v>2055.9</v>
      </c>
      <c r="I613">
        <v>538.99</v>
      </c>
      <c r="J613">
        <v>7</v>
      </c>
      <c r="K613" t="s">
        <v>26</v>
      </c>
      <c r="L613" t="s">
        <v>61</v>
      </c>
    </row>
    <row r="614" spans="1:12" x14ac:dyDescent="0.35">
      <c r="A614" t="s">
        <v>947</v>
      </c>
      <c r="B614" s="4">
        <v>45478</v>
      </c>
      <c r="C614" t="s">
        <v>35</v>
      </c>
      <c r="D614" t="s">
        <v>39</v>
      </c>
      <c r="E614" t="s">
        <v>23</v>
      </c>
      <c r="F614" t="s">
        <v>92</v>
      </c>
      <c r="G614" t="s">
        <v>566</v>
      </c>
      <c r="H614">
        <v>2052.6</v>
      </c>
      <c r="I614">
        <v>245.54</v>
      </c>
      <c r="J614">
        <v>9</v>
      </c>
      <c r="K614" t="s">
        <v>26</v>
      </c>
      <c r="L614" t="s">
        <v>42</v>
      </c>
    </row>
    <row r="615" spans="1:12" x14ac:dyDescent="0.35">
      <c r="A615" t="s">
        <v>393</v>
      </c>
      <c r="B615" s="4">
        <v>45292</v>
      </c>
      <c r="C615" t="s">
        <v>35</v>
      </c>
      <c r="D615" t="s">
        <v>36</v>
      </c>
      <c r="E615" t="s">
        <v>23</v>
      </c>
      <c r="F615" t="s">
        <v>24</v>
      </c>
      <c r="G615" t="s">
        <v>169</v>
      </c>
      <c r="H615">
        <v>2035.97</v>
      </c>
      <c r="I615">
        <v>207.6</v>
      </c>
      <c r="J615">
        <v>8</v>
      </c>
      <c r="K615" t="s">
        <v>18</v>
      </c>
      <c r="L615" t="s">
        <v>54</v>
      </c>
    </row>
    <row r="616" spans="1:12" x14ac:dyDescent="0.35">
      <c r="A616" t="s">
        <v>642</v>
      </c>
      <c r="B616" s="4">
        <v>45294</v>
      </c>
      <c r="C616" t="s">
        <v>13</v>
      </c>
      <c r="D616" t="s">
        <v>14</v>
      </c>
      <c r="E616" t="s">
        <v>51</v>
      </c>
      <c r="F616" t="s">
        <v>52</v>
      </c>
      <c r="G616" t="s">
        <v>119</v>
      </c>
      <c r="H616">
        <v>2021</v>
      </c>
      <c r="I616">
        <v>522.74</v>
      </c>
      <c r="J616">
        <v>5</v>
      </c>
      <c r="K616" t="s">
        <v>32</v>
      </c>
      <c r="L616" t="s">
        <v>78</v>
      </c>
    </row>
    <row r="617" spans="1:12" x14ac:dyDescent="0.35">
      <c r="A617" t="s">
        <v>1199</v>
      </c>
      <c r="B617" s="4">
        <v>45336</v>
      </c>
      <c r="C617" t="s">
        <v>21</v>
      </c>
      <c r="D617" t="s">
        <v>134</v>
      </c>
      <c r="E617" t="s">
        <v>23</v>
      </c>
      <c r="F617" t="s">
        <v>24</v>
      </c>
      <c r="G617" t="s">
        <v>149</v>
      </c>
      <c r="H617">
        <v>2018.41</v>
      </c>
      <c r="I617">
        <v>170.46</v>
      </c>
      <c r="J617">
        <v>7</v>
      </c>
      <c r="K617" t="s">
        <v>32</v>
      </c>
      <c r="L617" t="s">
        <v>42</v>
      </c>
    </row>
    <row r="618" spans="1:12" x14ac:dyDescent="0.35">
      <c r="A618" t="s">
        <v>632</v>
      </c>
      <c r="B618" s="4">
        <v>45466</v>
      </c>
      <c r="C618" t="s">
        <v>13</v>
      </c>
      <c r="D618" t="s">
        <v>82</v>
      </c>
      <c r="E618" t="s">
        <v>51</v>
      </c>
      <c r="F618" t="s">
        <v>52</v>
      </c>
      <c r="G618" t="s">
        <v>316</v>
      </c>
      <c r="H618">
        <v>2016.56</v>
      </c>
      <c r="I618">
        <v>238.86</v>
      </c>
      <c r="J618">
        <v>2</v>
      </c>
      <c r="K618" t="s">
        <v>18</v>
      </c>
      <c r="L618" t="s">
        <v>33</v>
      </c>
    </row>
    <row r="619" spans="1:12" x14ac:dyDescent="0.35">
      <c r="A619" t="s">
        <v>1067</v>
      </c>
      <c r="B619" s="4">
        <v>45325</v>
      </c>
      <c r="C619" t="s">
        <v>46</v>
      </c>
      <c r="D619" t="s">
        <v>56</v>
      </c>
      <c r="E619" t="s">
        <v>23</v>
      </c>
      <c r="F619" t="s">
        <v>69</v>
      </c>
      <c r="G619" t="s">
        <v>805</v>
      </c>
      <c r="H619">
        <v>2006.12</v>
      </c>
      <c r="I619">
        <v>594.6</v>
      </c>
      <c r="J619">
        <v>5</v>
      </c>
      <c r="K619" t="s">
        <v>18</v>
      </c>
      <c r="L619" t="s">
        <v>58</v>
      </c>
    </row>
    <row r="620" spans="1:12" x14ac:dyDescent="0.35">
      <c r="A620" t="s">
        <v>427</v>
      </c>
      <c r="B620" s="4">
        <v>45337</v>
      </c>
      <c r="C620" t="s">
        <v>35</v>
      </c>
      <c r="D620" t="s">
        <v>36</v>
      </c>
      <c r="E620" t="s">
        <v>51</v>
      </c>
      <c r="F620" t="s">
        <v>52</v>
      </c>
      <c r="G620" t="s">
        <v>60</v>
      </c>
      <c r="H620">
        <v>1998.33</v>
      </c>
      <c r="I620">
        <v>437.69</v>
      </c>
      <c r="J620">
        <v>3</v>
      </c>
      <c r="K620" t="s">
        <v>18</v>
      </c>
      <c r="L620" t="s">
        <v>19</v>
      </c>
    </row>
    <row r="621" spans="1:12" x14ac:dyDescent="0.35">
      <c r="A621" t="s">
        <v>651</v>
      </c>
      <c r="B621" s="4">
        <v>45403</v>
      </c>
      <c r="C621" t="s">
        <v>46</v>
      </c>
      <c r="D621" t="s">
        <v>56</v>
      </c>
      <c r="E621" t="s">
        <v>51</v>
      </c>
      <c r="F621" t="s">
        <v>74</v>
      </c>
      <c r="G621" t="s">
        <v>593</v>
      </c>
      <c r="H621">
        <v>1992.81</v>
      </c>
      <c r="I621">
        <v>227.02</v>
      </c>
      <c r="J621">
        <v>5</v>
      </c>
      <c r="K621" t="s">
        <v>18</v>
      </c>
      <c r="L621" t="s">
        <v>33</v>
      </c>
    </row>
    <row r="622" spans="1:12" x14ac:dyDescent="0.35">
      <c r="A622" t="s">
        <v>410</v>
      </c>
      <c r="B622" s="4">
        <v>45545</v>
      </c>
      <c r="C622" t="s">
        <v>21</v>
      </c>
      <c r="D622" t="s">
        <v>65</v>
      </c>
      <c r="E622" t="s">
        <v>23</v>
      </c>
      <c r="F622" t="s">
        <v>24</v>
      </c>
      <c r="G622" t="s">
        <v>149</v>
      </c>
      <c r="H622">
        <v>1992.19</v>
      </c>
      <c r="I622">
        <v>235.15</v>
      </c>
      <c r="J622">
        <v>7</v>
      </c>
      <c r="K622" t="s">
        <v>26</v>
      </c>
      <c r="L622" t="s">
        <v>61</v>
      </c>
    </row>
    <row r="623" spans="1:12" x14ac:dyDescent="0.35">
      <c r="A623" t="s">
        <v>1050</v>
      </c>
      <c r="B623" s="4">
        <v>45334</v>
      </c>
      <c r="C623" t="s">
        <v>21</v>
      </c>
      <c r="D623" t="s">
        <v>22</v>
      </c>
      <c r="E623" t="s">
        <v>51</v>
      </c>
      <c r="F623" t="s">
        <v>66</v>
      </c>
      <c r="G623" t="s">
        <v>242</v>
      </c>
      <c r="H623">
        <v>1991.08</v>
      </c>
      <c r="I623">
        <v>327.75</v>
      </c>
      <c r="J623">
        <v>5</v>
      </c>
      <c r="K623" t="s">
        <v>32</v>
      </c>
      <c r="L623" t="s">
        <v>58</v>
      </c>
    </row>
    <row r="624" spans="1:12" x14ac:dyDescent="0.35">
      <c r="A624" t="s">
        <v>220</v>
      </c>
      <c r="B624" s="4">
        <v>45435</v>
      </c>
      <c r="C624" t="s">
        <v>21</v>
      </c>
      <c r="D624" t="s">
        <v>22</v>
      </c>
      <c r="E624" t="s">
        <v>51</v>
      </c>
      <c r="F624" t="s">
        <v>52</v>
      </c>
      <c r="G624" t="s">
        <v>221</v>
      </c>
      <c r="H624">
        <v>1990.62</v>
      </c>
      <c r="I624">
        <v>592.26</v>
      </c>
      <c r="J624">
        <v>1</v>
      </c>
      <c r="K624" t="s">
        <v>32</v>
      </c>
      <c r="L624" t="s">
        <v>78</v>
      </c>
    </row>
    <row r="625" spans="1:12" x14ac:dyDescent="0.35">
      <c r="A625" t="s">
        <v>421</v>
      </c>
      <c r="B625" s="4">
        <v>45441</v>
      </c>
      <c r="C625" t="s">
        <v>46</v>
      </c>
      <c r="D625" t="s">
        <v>89</v>
      </c>
      <c r="E625" t="s">
        <v>51</v>
      </c>
      <c r="F625" t="s">
        <v>52</v>
      </c>
      <c r="G625" t="s">
        <v>422</v>
      </c>
      <c r="H625">
        <v>1989.2</v>
      </c>
      <c r="I625">
        <v>379.06</v>
      </c>
      <c r="J625">
        <v>4</v>
      </c>
      <c r="K625" t="s">
        <v>26</v>
      </c>
      <c r="L625" t="s">
        <v>42</v>
      </c>
    </row>
    <row r="626" spans="1:12" x14ac:dyDescent="0.35">
      <c r="A626" t="s">
        <v>1224</v>
      </c>
      <c r="B626" s="4">
        <v>45302</v>
      </c>
      <c r="C626" t="s">
        <v>46</v>
      </c>
      <c r="D626" t="s">
        <v>47</v>
      </c>
      <c r="E626" t="s">
        <v>51</v>
      </c>
      <c r="F626" t="s">
        <v>52</v>
      </c>
      <c r="G626" t="s">
        <v>291</v>
      </c>
      <c r="H626">
        <v>1983.54</v>
      </c>
      <c r="I626">
        <v>490.23</v>
      </c>
      <c r="J626">
        <v>7</v>
      </c>
      <c r="K626" t="s">
        <v>18</v>
      </c>
      <c r="L626" t="s">
        <v>54</v>
      </c>
    </row>
    <row r="627" spans="1:12" x14ac:dyDescent="0.35">
      <c r="A627" t="s">
        <v>241</v>
      </c>
      <c r="B627" s="4">
        <v>45421</v>
      </c>
      <c r="C627" t="s">
        <v>13</v>
      </c>
      <c r="D627" t="s">
        <v>82</v>
      </c>
      <c r="E627" t="s">
        <v>51</v>
      </c>
      <c r="F627" t="s">
        <v>66</v>
      </c>
      <c r="G627" t="s">
        <v>242</v>
      </c>
      <c r="H627">
        <v>1983.33</v>
      </c>
      <c r="I627">
        <v>523.05999999999995</v>
      </c>
      <c r="J627">
        <v>2</v>
      </c>
      <c r="K627" t="s">
        <v>32</v>
      </c>
      <c r="L627" t="s">
        <v>19</v>
      </c>
    </row>
    <row r="628" spans="1:12" x14ac:dyDescent="0.35">
      <c r="A628" t="s">
        <v>605</v>
      </c>
      <c r="B628" s="4">
        <v>45583</v>
      </c>
      <c r="C628" t="s">
        <v>35</v>
      </c>
      <c r="D628" t="s">
        <v>50</v>
      </c>
      <c r="E628" t="s">
        <v>23</v>
      </c>
      <c r="F628" t="s">
        <v>92</v>
      </c>
      <c r="G628" t="s">
        <v>195</v>
      </c>
      <c r="H628">
        <v>1982.56</v>
      </c>
      <c r="I628">
        <v>667.76</v>
      </c>
      <c r="J628">
        <v>9</v>
      </c>
      <c r="K628" t="s">
        <v>26</v>
      </c>
      <c r="L628" t="s">
        <v>58</v>
      </c>
    </row>
    <row r="629" spans="1:12" x14ac:dyDescent="0.35">
      <c r="A629" t="s">
        <v>1105</v>
      </c>
      <c r="B629" s="4">
        <v>45604</v>
      </c>
      <c r="C629" t="s">
        <v>13</v>
      </c>
      <c r="D629" t="s">
        <v>82</v>
      </c>
      <c r="E629" t="s">
        <v>23</v>
      </c>
      <c r="F629" t="s">
        <v>69</v>
      </c>
      <c r="G629" t="s">
        <v>98</v>
      </c>
      <c r="H629">
        <v>1978.9</v>
      </c>
      <c r="I629">
        <v>623.32000000000005</v>
      </c>
      <c r="J629">
        <v>2</v>
      </c>
      <c r="K629" t="s">
        <v>32</v>
      </c>
      <c r="L629" t="s">
        <v>61</v>
      </c>
    </row>
    <row r="630" spans="1:12" x14ac:dyDescent="0.35">
      <c r="A630" t="s">
        <v>889</v>
      </c>
      <c r="B630" s="4">
        <v>45616</v>
      </c>
      <c r="C630" t="s">
        <v>13</v>
      </c>
      <c r="D630" t="s">
        <v>82</v>
      </c>
      <c r="E630" t="s">
        <v>15</v>
      </c>
      <c r="F630" t="s">
        <v>16</v>
      </c>
      <c r="G630" t="s">
        <v>90</v>
      </c>
      <c r="H630">
        <v>1976.7</v>
      </c>
      <c r="I630">
        <v>615.21</v>
      </c>
      <c r="J630">
        <v>6</v>
      </c>
      <c r="K630" t="s">
        <v>32</v>
      </c>
      <c r="L630" t="s">
        <v>19</v>
      </c>
    </row>
    <row r="631" spans="1:12" x14ac:dyDescent="0.35">
      <c r="A631" t="s">
        <v>616</v>
      </c>
      <c r="B631" s="4">
        <v>45631</v>
      </c>
      <c r="C631" t="s">
        <v>46</v>
      </c>
      <c r="D631" t="s">
        <v>89</v>
      </c>
      <c r="E631" t="s">
        <v>23</v>
      </c>
      <c r="F631" t="s">
        <v>24</v>
      </c>
      <c r="G631" t="s">
        <v>153</v>
      </c>
      <c r="H631">
        <v>1976.21</v>
      </c>
      <c r="I631">
        <v>559.29999999999995</v>
      </c>
      <c r="J631">
        <v>3</v>
      </c>
      <c r="K631" t="s">
        <v>26</v>
      </c>
      <c r="L631" t="s">
        <v>42</v>
      </c>
    </row>
    <row r="632" spans="1:12" x14ac:dyDescent="0.35">
      <c r="A632" t="s">
        <v>638</v>
      </c>
      <c r="B632" s="4">
        <v>45557</v>
      </c>
      <c r="C632" t="s">
        <v>35</v>
      </c>
      <c r="D632" t="s">
        <v>50</v>
      </c>
      <c r="E632" t="s">
        <v>23</v>
      </c>
      <c r="F632" t="s">
        <v>24</v>
      </c>
      <c r="G632" t="s">
        <v>496</v>
      </c>
      <c r="H632">
        <v>1958.47</v>
      </c>
      <c r="I632">
        <v>581.53</v>
      </c>
      <c r="J632">
        <v>6</v>
      </c>
      <c r="K632" t="s">
        <v>32</v>
      </c>
      <c r="L632" t="s">
        <v>33</v>
      </c>
    </row>
    <row r="633" spans="1:12" x14ac:dyDescent="0.35">
      <c r="A633" t="s">
        <v>1119</v>
      </c>
      <c r="B633" s="4">
        <v>45487</v>
      </c>
      <c r="C633" t="s">
        <v>35</v>
      </c>
      <c r="D633" t="s">
        <v>39</v>
      </c>
      <c r="E633" t="s">
        <v>23</v>
      </c>
      <c r="F633" t="s">
        <v>92</v>
      </c>
      <c r="G633" t="s">
        <v>872</v>
      </c>
      <c r="H633">
        <v>1950.6</v>
      </c>
      <c r="I633">
        <v>368.59</v>
      </c>
      <c r="J633">
        <v>6</v>
      </c>
      <c r="K633" t="s">
        <v>26</v>
      </c>
      <c r="L633" t="s">
        <v>61</v>
      </c>
    </row>
    <row r="634" spans="1:12" x14ac:dyDescent="0.35">
      <c r="A634" t="s">
        <v>255</v>
      </c>
      <c r="B634" s="4">
        <v>45631</v>
      </c>
      <c r="C634" t="s">
        <v>46</v>
      </c>
      <c r="D634" t="s">
        <v>56</v>
      </c>
      <c r="E634" t="s">
        <v>51</v>
      </c>
      <c r="F634" t="s">
        <v>74</v>
      </c>
      <c r="G634" t="s">
        <v>256</v>
      </c>
      <c r="H634">
        <v>1950.2</v>
      </c>
      <c r="I634">
        <v>454.86</v>
      </c>
      <c r="J634">
        <v>2</v>
      </c>
      <c r="K634" t="s">
        <v>18</v>
      </c>
      <c r="L634" t="s">
        <v>54</v>
      </c>
    </row>
    <row r="635" spans="1:12" x14ac:dyDescent="0.35">
      <c r="A635" t="s">
        <v>101</v>
      </c>
      <c r="B635" s="4">
        <v>45442</v>
      </c>
      <c r="C635" t="s">
        <v>46</v>
      </c>
      <c r="D635" t="s">
        <v>47</v>
      </c>
      <c r="E635" t="s">
        <v>15</v>
      </c>
      <c r="F635" t="s">
        <v>30</v>
      </c>
      <c r="G635" t="s">
        <v>72</v>
      </c>
      <c r="H635">
        <v>1945.33</v>
      </c>
      <c r="I635">
        <v>470.52</v>
      </c>
      <c r="J635">
        <v>6</v>
      </c>
      <c r="K635" t="s">
        <v>26</v>
      </c>
      <c r="L635" t="s">
        <v>78</v>
      </c>
    </row>
    <row r="636" spans="1:12" x14ac:dyDescent="0.35">
      <c r="A636" t="s">
        <v>1055</v>
      </c>
      <c r="B636" s="4">
        <v>45656</v>
      </c>
      <c r="C636" t="s">
        <v>21</v>
      </c>
      <c r="D636" t="s">
        <v>134</v>
      </c>
      <c r="E636" t="s">
        <v>23</v>
      </c>
      <c r="F636" t="s">
        <v>92</v>
      </c>
      <c r="G636" t="s">
        <v>412</v>
      </c>
      <c r="H636">
        <v>1944.79</v>
      </c>
      <c r="I636">
        <v>161.47999999999999</v>
      </c>
      <c r="J636">
        <v>2</v>
      </c>
      <c r="K636" t="s">
        <v>32</v>
      </c>
      <c r="L636" t="s">
        <v>78</v>
      </c>
    </row>
    <row r="637" spans="1:12" x14ac:dyDescent="0.35">
      <c r="A637" t="s">
        <v>517</v>
      </c>
      <c r="B637" s="4">
        <v>45466</v>
      </c>
      <c r="C637" t="s">
        <v>21</v>
      </c>
      <c r="D637" t="s">
        <v>22</v>
      </c>
      <c r="E637" t="s">
        <v>51</v>
      </c>
      <c r="F637" t="s">
        <v>52</v>
      </c>
      <c r="G637" t="s">
        <v>80</v>
      </c>
      <c r="H637">
        <v>1937.72</v>
      </c>
      <c r="I637">
        <v>652.59</v>
      </c>
      <c r="J637">
        <v>6</v>
      </c>
      <c r="K637" t="s">
        <v>18</v>
      </c>
      <c r="L637" t="s">
        <v>78</v>
      </c>
    </row>
    <row r="638" spans="1:12" x14ac:dyDescent="0.35">
      <c r="A638" t="s">
        <v>571</v>
      </c>
      <c r="B638" s="4">
        <v>45317</v>
      </c>
      <c r="C638" t="s">
        <v>21</v>
      </c>
      <c r="D638" t="s">
        <v>65</v>
      </c>
      <c r="E638" t="s">
        <v>23</v>
      </c>
      <c r="F638" t="s">
        <v>69</v>
      </c>
      <c r="G638" t="s">
        <v>161</v>
      </c>
      <c r="H638">
        <v>1937.64</v>
      </c>
      <c r="I638">
        <v>135.51</v>
      </c>
      <c r="J638">
        <v>3</v>
      </c>
      <c r="K638" t="s">
        <v>32</v>
      </c>
      <c r="L638" t="s">
        <v>19</v>
      </c>
    </row>
    <row r="639" spans="1:12" x14ac:dyDescent="0.35">
      <c r="A639" t="s">
        <v>946</v>
      </c>
      <c r="B639" s="4">
        <v>45331</v>
      </c>
      <c r="C639" t="s">
        <v>46</v>
      </c>
      <c r="D639" t="s">
        <v>56</v>
      </c>
      <c r="E639" t="s">
        <v>23</v>
      </c>
      <c r="F639" t="s">
        <v>24</v>
      </c>
      <c r="G639" t="s">
        <v>281</v>
      </c>
      <c r="H639">
        <v>1937.63</v>
      </c>
      <c r="I639">
        <v>599.48</v>
      </c>
      <c r="J639">
        <v>2</v>
      </c>
      <c r="K639" t="s">
        <v>18</v>
      </c>
      <c r="L639" t="s">
        <v>33</v>
      </c>
    </row>
    <row r="640" spans="1:12" x14ac:dyDescent="0.35">
      <c r="A640" t="s">
        <v>798</v>
      </c>
      <c r="B640" s="4">
        <v>45304</v>
      </c>
      <c r="C640" t="s">
        <v>13</v>
      </c>
      <c r="D640" t="s">
        <v>82</v>
      </c>
      <c r="E640" t="s">
        <v>23</v>
      </c>
      <c r="F640" t="s">
        <v>92</v>
      </c>
      <c r="G640" t="s">
        <v>482</v>
      </c>
      <c r="H640">
        <v>1935.86</v>
      </c>
      <c r="I640">
        <v>203.9</v>
      </c>
      <c r="J640">
        <v>8</v>
      </c>
      <c r="K640" t="s">
        <v>18</v>
      </c>
      <c r="L640" t="s">
        <v>33</v>
      </c>
    </row>
    <row r="641" spans="1:12" x14ac:dyDescent="0.35">
      <c r="A641" t="s">
        <v>463</v>
      </c>
      <c r="B641" s="4">
        <v>45582</v>
      </c>
      <c r="C641" t="s">
        <v>35</v>
      </c>
      <c r="D641" t="s">
        <v>50</v>
      </c>
      <c r="E641" t="s">
        <v>23</v>
      </c>
      <c r="F641" t="s">
        <v>92</v>
      </c>
      <c r="G641" t="s">
        <v>165</v>
      </c>
      <c r="H641">
        <v>1930.21</v>
      </c>
      <c r="I641">
        <v>529.36</v>
      </c>
      <c r="J641">
        <v>5</v>
      </c>
      <c r="K641" t="s">
        <v>18</v>
      </c>
      <c r="L641" t="s">
        <v>54</v>
      </c>
    </row>
    <row r="642" spans="1:12" x14ac:dyDescent="0.35">
      <c r="A642" t="s">
        <v>527</v>
      </c>
      <c r="B642" s="4">
        <v>45614</v>
      </c>
      <c r="C642" t="s">
        <v>46</v>
      </c>
      <c r="D642" t="s">
        <v>89</v>
      </c>
      <c r="E642" t="s">
        <v>51</v>
      </c>
      <c r="F642" t="s">
        <v>66</v>
      </c>
      <c r="G642" t="s">
        <v>138</v>
      </c>
      <c r="H642">
        <v>1929.24</v>
      </c>
      <c r="I642">
        <v>164.25</v>
      </c>
      <c r="J642">
        <v>5</v>
      </c>
      <c r="K642" t="s">
        <v>18</v>
      </c>
      <c r="L642" t="s">
        <v>33</v>
      </c>
    </row>
    <row r="643" spans="1:12" x14ac:dyDescent="0.35">
      <c r="A643" t="s">
        <v>661</v>
      </c>
      <c r="B643" s="4">
        <v>45491</v>
      </c>
      <c r="C643" t="s">
        <v>21</v>
      </c>
      <c r="D643" t="s">
        <v>22</v>
      </c>
      <c r="E643" t="s">
        <v>51</v>
      </c>
      <c r="F643" t="s">
        <v>52</v>
      </c>
      <c r="G643" t="s">
        <v>121</v>
      </c>
      <c r="H643">
        <v>1929.02</v>
      </c>
      <c r="I643">
        <v>451.57</v>
      </c>
      <c r="J643">
        <v>1</v>
      </c>
      <c r="K643" t="s">
        <v>18</v>
      </c>
      <c r="L643" t="s">
        <v>58</v>
      </c>
    </row>
    <row r="644" spans="1:12" x14ac:dyDescent="0.35">
      <c r="A644" t="s">
        <v>669</v>
      </c>
      <c r="B644" s="4">
        <v>45435</v>
      </c>
      <c r="C644" t="s">
        <v>35</v>
      </c>
      <c r="D644" t="s">
        <v>36</v>
      </c>
      <c r="E644" t="s">
        <v>51</v>
      </c>
      <c r="F644" t="s">
        <v>66</v>
      </c>
      <c r="G644" t="s">
        <v>67</v>
      </c>
      <c r="H644">
        <v>1927.32</v>
      </c>
      <c r="I644">
        <v>251.95</v>
      </c>
      <c r="J644">
        <v>2</v>
      </c>
      <c r="K644" t="s">
        <v>32</v>
      </c>
      <c r="L644" t="s">
        <v>27</v>
      </c>
    </row>
    <row r="645" spans="1:12" x14ac:dyDescent="0.35">
      <c r="A645" t="s">
        <v>319</v>
      </c>
      <c r="B645" s="4">
        <v>45410</v>
      </c>
      <c r="C645" t="s">
        <v>13</v>
      </c>
      <c r="D645" t="s">
        <v>82</v>
      </c>
      <c r="E645" t="s">
        <v>51</v>
      </c>
      <c r="F645" t="s">
        <v>74</v>
      </c>
      <c r="G645" t="s">
        <v>320</v>
      </c>
      <c r="H645">
        <v>1924.84</v>
      </c>
      <c r="I645">
        <v>659.93</v>
      </c>
      <c r="J645">
        <v>1</v>
      </c>
      <c r="K645" t="s">
        <v>18</v>
      </c>
      <c r="L645" t="s">
        <v>58</v>
      </c>
    </row>
    <row r="646" spans="1:12" x14ac:dyDescent="0.35">
      <c r="A646" t="s">
        <v>534</v>
      </c>
      <c r="B646" s="4">
        <v>45517</v>
      </c>
      <c r="C646" t="s">
        <v>21</v>
      </c>
      <c r="D646" t="s">
        <v>65</v>
      </c>
      <c r="E646" t="s">
        <v>51</v>
      </c>
      <c r="F646" t="s">
        <v>52</v>
      </c>
      <c r="G646" t="s">
        <v>535</v>
      </c>
      <c r="H646">
        <v>1915.02</v>
      </c>
      <c r="I646">
        <v>188.99</v>
      </c>
      <c r="J646">
        <v>5</v>
      </c>
      <c r="K646" t="s">
        <v>18</v>
      </c>
      <c r="L646" t="s">
        <v>42</v>
      </c>
    </row>
    <row r="647" spans="1:12" x14ac:dyDescent="0.35">
      <c r="A647" t="s">
        <v>1017</v>
      </c>
      <c r="B647" s="4">
        <v>45645</v>
      </c>
      <c r="C647" t="s">
        <v>21</v>
      </c>
      <c r="D647" t="s">
        <v>22</v>
      </c>
      <c r="E647" t="s">
        <v>23</v>
      </c>
      <c r="F647" t="s">
        <v>69</v>
      </c>
      <c r="G647" t="s">
        <v>355</v>
      </c>
      <c r="H647">
        <v>1914.58</v>
      </c>
      <c r="I647">
        <v>635.53</v>
      </c>
      <c r="J647">
        <v>10</v>
      </c>
      <c r="K647" t="s">
        <v>26</v>
      </c>
      <c r="L647" t="s">
        <v>58</v>
      </c>
    </row>
    <row r="648" spans="1:12" x14ac:dyDescent="0.35">
      <c r="A648" t="s">
        <v>953</v>
      </c>
      <c r="B648" s="4">
        <v>45443</v>
      </c>
      <c r="C648" t="s">
        <v>21</v>
      </c>
      <c r="D648" t="s">
        <v>22</v>
      </c>
      <c r="E648" t="s">
        <v>15</v>
      </c>
      <c r="F648" t="s">
        <v>16</v>
      </c>
      <c r="G648" t="s">
        <v>541</v>
      </c>
      <c r="H648">
        <v>1912.82</v>
      </c>
      <c r="I648">
        <v>480.27</v>
      </c>
      <c r="J648">
        <v>2</v>
      </c>
      <c r="K648" t="s">
        <v>18</v>
      </c>
      <c r="L648" t="s">
        <v>42</v>
      </c>
    </row>
    <row r="649" spans="1:12" x14ac:dyDescent="0.35">
      <c r="A649" t="s">
        <v>1021</v>
      </c>
      <c r="B649" s="4">
        <v>45529</v>
      </c>
      <c r="C649" t="s">
        <v>21</v>
      </c>
      <c r="D649" t="s">
        <v>65</v>
      </c>
      <c r="E649" t="s">
        <v>23</v>
      </c>
      <c r="F649" t="s">
        <v>24</v>
      </c>
      <c r="G649" t="s">
        <v>586</v>
      </c>
      <c r="H649">
        <v>1910.66</v>
      </c>
      <c r="I649">
        <v>353.69</v>
      </c>
      <c r="J649">
        <v>9</v>
      </c>
      <c r="K649" t="s">
        <v>26</v>
      </c>
      <c r="L649" t="s">
        <v>54</v>
      </c>
    </row>
    <row r="650" spans="1:12" x14ac:dyDescent="0.35">
      <c r="A650" t="s">
        <v>230</v>
      </c>
      <c r="B650" s="4">
        <v>45592</v>
      </c>
      <c r="C650" t="s">
        <v>35</v>
      </c>
      <c r="D650" t="s">
        <v>50</v>
      </c>
      <c r="E650" t="s">
        <v>51</v>
      </c>
      <c r="F650" t="s">
        <v>52</v>
      </c>
      <c r="G650" t="s">
        <v>111</v>
      </c>
      <c r="H650">
        <v>1906.99</v>
      </c>
      <c r="I650">
        <v>182.26</v>
      </c>
      <c r="J650">
        <v>8</v>
      </c>
      <c r="K650" t="s">
        <v>26</v>
      </c>
      <c r="L650" t="s">
        <v>58</v>
      </c>
    </row>
    <row r="651" spans="1:12" x14ac:dyDescent="0.35">
      <c r="A651" t="s">
        <v>1027</v>
      </c>
      <c r="B651" s="4">
        <v>45410</v>
      </c>
      <c r="C651" t="s">
        <v>13</v>
      </c>
      <c r="D651" t="s">
        <v>14</v>
      </c>
      <c r="E651" t="s">
        <v>51</v>
      </c>
      <c r="F651" t="s">
        <v>52</v>
      </c>
      <c r="G651" t="s">
        <v>941</v>
      </c>
      <c r="H651">
        <v>1905.71</v>
      </c>
      <c r="I651">
        <v>169.7</v>
      </c>
      <c r="J651">
        <v>8</v>
      </c>
      <c r="K651" t="s">
        <v>26</v>
      </c>
      <c r="L651" t="s">
        <v>58</v>
      </c>
    </row>
    <row r="652" spans="1:12" x14ac:dyDescent="0.35">
      <c r="A652" t="s">
        <v>706</v>
      </c>
      <c r="B652" s="4">
        <v>45493</v>
      </c>
      <c r="C652" t="s">
        <v>13</v>
      </c>
      <c r="D652" t="s">
        <v>82</v>
      </c>
      <c r="E652" t="s">
        <v>15</v>
      </c>
      <c r="F652" t="s">
        <v>16</v>
      </c>
      <c r="G652" t="s">
        <v>449</v>
      </c>
      <c r="H652">
        <v>1905.24</v>
      </c>
      <c r="I652">
        <v>610.05999999999995</v>
      </c>
      <c r="J652">
        <v>10</v>
      </c>
      <c r="K652" t="s">
        <v>18</v>
      </c>
      <c r="L652" t="s">
        <v>42</v>
      </c>
    </row>
    <row r="653" spans="1:12" x14ac:dyDescent="0.35">
      <c r="A653" t="s">
        <v>1190</v>
      </c>
      <c r="B653" s="4">
        <v>45492</v>
      </c>
      <c r="C653" t="s">
        <v>21</v>
      </c>
      <c r="D653" t="s">
        <v>22</v>
      </c>
      <c r="E653" t="s">
        <v>23</v>
      </c>
      <c r="F653" t="s">
        <v>69</v>
      </c>
      <c r="G653" t="s">
        <v>70</v>
      </c>
      <c r="H653">
        <v>1901.55</v>
      </c>
      <c r="I653">
        <v>499.17</v>
      </c>
      <c r="J653">
        <v>2</v>
      </c>
      <c r="K653" t="s">
        <v>18</v>
      </c>
      <c r="L653" t="s">
        <v>54</v>
      </c>
    </row>
    <row r="654" spans="1:12" x14ac:dyDescent="0.35">
      <c r="A654" t="s">
        <v>587</v>
      </c>
      <c r="B654" s="4">
        <v>45497</v>
      </c>
      <c r="C654" t="s">
        <v>13</v>
      </c>
      <c r="D654" t="s">
        <v>82</v>
      </c>
      <c r="E654" t="s">
        <v>51</v>
      </c>
      <c r="F654" t="s">
        <v>52</v>
      </c>
      <c r="G654" t="s">
        <v>291</v>
      </c>
      <c r="H654">
        <v>1883.64</v>
      </c>
      <c r="I654">
        <v>456.4</v>
      </c>
      <c r="J654">
        <v>8</v>
      </c>
      <c r="K654" t="s">
        <v>32</v>
      </c>
      <c r="L654" t="s">
        <v>78</v>
      </c>
    </row>
    <row r="655" spans="1:12" x14ac:dyDescent="0.35">
      <c r="A655" t="s">
        <v>245</v>
      </c>
      <c r="B655" s="4">
        <v>45310</v>
      </c>
      <c r="C655" t="s">
        <v>13</v>
      </c>
      <c r="D655" t="s">
        <v>29</v>
      </c>
      <c r="E655" t="s">
        <v>15</v>
      </c>
      <c r="F655" t="s">
        <v>40</v>
      </c>
      <c r="G655" t="s">
        <v>246</v>
      </c>
      <c r="H655">
        <v>1882.87</v>
      </c>
      <c r="I655">
        <v>496.93</v>
      </c>
      <c r="J655">
        <v>6</v>
      </c>
      <c r="K655" t="s">
        <v>18</v>
      </c>
      <c r="L655" t="s">
        <v>78</v>
      </c>
    </row>
    <row r="656" spans="1:12" x14ac:dyDescent="0.35">
      <c r="A656" t="s">
        <v>704</v>
      </c>
      <c r="B656" s="4">
        <v>45504</v>
      </c>
      <c r="C656" t="s">
        <v>13</v>
      </c>
      <c r="D656" t="s">
        <v>14</v>
      </c>
      <c r="E656" t="s">
        <v>51</v>
      </c>
      <c r="F656" t="s">
        <v>66</v>
      </c>
      <c r="G656" t="s">
        <v>680</v>
      </c>
      <c r="H656">
        <v>1882.68</v>
      </c>
      <c r="I656">
        <v>548.66999999999996</v>
      </c>
      <c r="J656">
        <v>6</v>
      </c>
      <c r="K656" t="s">
        <v>26</v>
      </c>
      <c r="L656" t="s">
        <v>27</v>
      </c>
    </row>
    <row r="657" spans="1:12" x14ac:dyDescent="0.35">
      <c r="A657" t="s">
        <v>311</v>
      </c>
      <c r="B657" s="4">
        <v>45303</v>
      </c>
      <c r="C657" t="s">
        <v>35</v>
      </c>
      <c r="D657" t="s">
        <v>39</v>
      </c>
      <c r="E657" t="s">
        <v>23</v>
      </c>
      <c r="F657" t="s">
        <v>69</v>
      </c>
      <c r="G657" t="s">
        <v>167</v>
      </c>
      <c r="H657">
        <v>1876.81</v>
      </c>
      <c r="I657">
        <v>464.13</v>
      </c>
      <c r="J657">
        <v>7</v>
      </c>
      <c r="K657" t="s">
        <v>18</v>
      </c>
      <c r="L657" t="s">
        <v>33</v>
      </c>
    </row>
    <row r="658" spans="1:12" x14ac:dyDescent="0.35">
      <c r="A658" t="s">
        <v>460</v>
      </c>
      <c r="B658" s="4">
        <v>45356</v>
      </c>
      <c r="C658" t="s">
        <v>35</v>
      </c>
      <c r="D658" t="s">
        <v>39</v>
      </c>
      <c r="E658" t="s">
        <v>23</v>
      </c>
      <c r="F658" t="s">
        <v>69</v>
      </c>
      <c r="G658" t="s">
        <v>208</v>
      </c>
      <c r="H658">
        <v>1866.62</v>
      </c>
      <c r="I658">
        <v>360.15</v>
      </c>
      <c r="J658">
        <v>2</v>
      </c>
      <c r="K658" t="s">
        <v>32</v>
      </c>
      <c r="L658" t="s">
        <v>19</v>
      </c>
    </row>
    <row r="659" spans="1:12" x14ac:dyDescent="0.35">
      <c r="A659" t="s">
        <v>1147</v>
      </c>
      <c r="B659" s="4">
        <v>45294</v>
      </c>
      <c r="C659" t="s">
        <v>21</v>
      </c>
      <c r="D659" t="s">
        <v>65</v>
      </c>
      <c r="E659" t="s">
        <v>23</v>
      </c>
      <c r="F659" t="s">
        <v>24</v>
      </c>
      <c r="G659" t="s">
        <v>329</v>
      </c>
      <c r="H659">
        <v>1866.17</v>
      </c>
      <c r="I659">
        <v>289.32</v>
      </c>
      <c r="J659">
        <v>7</v>
      </c>
      <c r="K659" t="s">
        <v>32</v>
      </c>
      <c r="L659" t="s">
        <v>54</v>
      </c>
    </row>
    <row r="660" spans="1:12" x14ac:dyDescent="0.35">
      <c r="A660" t="s">
        <v>656</v>
      </c>
      <c r="B660" s="4">
        <v>45592</v>
      </c>
      <c r="C660" t="s">
        <v>46</v>
      </c>
      <c r="D660" t="s">
        <v>47</v>
      </c>
      <c r="E660" t="s">
        <v>51</v>
      </c>
      <c r="F660" t="s">
        <v>74</v>
      </c>
      <c r="G660" t="s">
        <v>193</v>
      </c>
      <c r="H660">
        <v>1848.99</v>
      </c>
      <c r="I660">
        <v>353.76</v>
      </c>
      <c r="J660">
        <v>2</v>
      </c>
      <c r="K660" t="s">
        <v>26</v>
      </c>
      <c r="L660" t="s">
        <v>54</v>
      </c>
    </row>
    <row r="661" spans="1:12" x14ac:dyDescent="0.35">
      <c r="A661" t="s">
        <v>938</v>
      </c>
      <c r="B661" s="4">
        <v>45478</v>
      </c>
      <c r="C661" t="s">
        <v>35</v>
      </c>
      <c r="D661" t="s">
        <v>50</v>
      </c>
      <c r="E661" t="s">
        <v>15</v>
      </c>
      <c r="F661" t="s">
        <v>16</v>
      </c>
      <c r="G661" t="s">
        <v>654</v>
      </c>
      <c r="H661">
        <v>1847.72</v>
      </c>
      <c r="I661">
        <v>518.85</v>
      </c>
      <c r="J661">
        <v>1</v>
      </c>
      <c r="K661" t="s">
        <v>18</v>
      </c>
      <c r="L661" t="s">
        <v>19</v>
      </c>
    </row>
    <row r="662" spans="1:12" x14ac:dyDescent="0.35">
      <c r="A662" t="s">
        <v>275</v>
      </c>
      <c r="B662" s="4">
        <v>45324</v>
      </c>
      <c r="C662" t="s">
        <v>13</v>
      </c>
      <c r="D662" t="s">
        <v>14</v>
      </c>
      <c r="E662" t="s">
        <v>23</v>
      </c>
      <c r="F662" t="s">
        <v>24</v>
      </c>
      <c r="G662" t="s">
        <v>103</v>
      </c>
      <c r="H662">
        <v>1806.36</v>
      </c>
      <c r="I662">
        <v>253.23</v>
      </c>
      <c r="J662">
        <v>7</v>
      </c>
      <c r="K662" t="s">
        <v>18</v>
      </c>
      <c r="L662" t="s">
        <v>54</v>
      </c>
    </row>
    <row r="663" spans="1:12" x14ac:dyDescent="0.35">
      <c r="A663" t="s">
        <v>1106</v>
      </c>
      <c r="B663" s="4">
        <v>45340</v>
      </c>
      <c r="C663" t="s">
        <v>21</v>
      </c>
      <c r="D663" t="s">
        <v>65</v>
      </c>
      <c r="E663" t="s">
        <v>51</v>
      </c>
      <c r="F663" t="s">
        <v>52</v>
      </c>
      <c r="G663" t="s">
        <v>291</v>
      </c>
      <c r="H663">
        <v>1785.95</v>
      </c>
      <c r="I663">
        <v>328.44</v>
      </c>
      <c r="J663">
        <v>7</v>
      </c>
      <c r="K663" t="s">
        <v>26</v>
      </c>
      <c r="L663" t="s">
        <v>27</v>
      </c>
    </row>
    <row r="664" spans="1:12" x14ac:dyDescent="0.35">
      <c r="A664" t="s">
        <v>288</v>
      </c>
      <c r="B664" s="4">
        <v>45488</v>
      </c>
      <c r="C664" t="s">
        <v>46</v>
      </c>
      <c r="D664" t="s">
        <v>89</v>
      </c>
      <c r="E664" t="s">
        <v>51</v>
      </c>
      <c r="F664" t="s">
        <v>52</v>
      </c>
      <c r="G664" t="s">
        <v>289</v>
      </c>
      <c r="H664">
        <v>1778.5</v>
      </c>
      <c r="I664">
        <v>420.22</v>
      </c>
      <c r="J664">
        <v>4</v>
      </c>
      <c r="K664" t="s">
        <v>18</v>
      </c>
      <c r="L664" t="s">
        <v>27</v>
      </c>
    </row>
    <row r="665" spans="1:12" x14ac:dyDescent="0.35">
      <c r="A665" t="s">
        <v>420</v>
      </c>
      <c r="B665" s="4">
        <v>45515</v>
      </c>
      <c r="C665" t="s">
        <v>21</v>
      </c>
      <c r="D665" t="s">
        <v>65</v>
      </c>
      <c r="E665" t="s">
        <v>23</v>
      </c>
      <c r="F665" t="s">
        <v>92</v>
      </c>
      <c r="G665" t="s">
        <v>151</v>
      </c>
      <c r="H665">
        <v>1772.98</v>
      </c>
      <c r="I665">
        <v>421.29</v>
      </c>
      <c r="J665">
        <v>4</v>
      </c>
      <c r="K665" t="s">
        <v>26</v>
      </c>
      <c r="L665" t="s">
        <v>33</v>
      </c>
    </row>
    <row r="666" spans="1:12" x14ac:dyDescent="0.35">
      <c r="A666" t="s">
        <v>790</v>
      </c>
      <c r="B666" s="4">
        <v>45316</v>
      </c>
      <c r="C666" t="s">
        <v>35</v>
      </c>
      <c r="D666" t="s">
        <v>39</v>
      </c>
      <c r="E666" t="s">
        <v>15</v>
      </c>
      <c r="F666" t="s">
        <v>16</v>
      </c>
      <c r="G666" t="s">
        <v>125</v>
      </c>
      <c r="H666">
        <v>1770.9</v>
      </c>
      <c r="I666">
        <v>462.86</v>
      </c>
      <c r="J666">
        <v>3</v>
      </c>
      <c r="K666" t="s">
        <v>26</v>
      </c>
      <c r="L666" t="s">
        <v>78</v>
      </c>
    </row>
    <row r="667" spans="1:12" x14ac:dyDescent="0.35">
      <c r="A667" t="s">
        <v>978</v>
      </c>
      <c r="B667" s="4">
        <v>45292</v>
      </c>
      <c r="C667" t="s">
        <v>46</v>
      </c>
      <c r="D667" t="s">
        <v>56</v>
      </c>
      <c r="E667" t="s">
        <v>15</v>
      </c>
      <c r="F667" t="s">
        <v>16</v>
      </c>
      <c r="G667" t="s">
        <v>569</v>
      </c>
      <c r="H667">
        <v>1762.83</v>
      </c>
      <c r="I667">
        <v>416.12</v>
      </c>
      <c r="J667">
        <v>4</v>
      </c>
      <c r="K667" t="s">
        <v>18</v>
      </c>
      <c r="L667" t="s">
        <v>42</v>
      </c>
    </row>
    <row r="668" spans="1:12" x14ac:dyDescent="0.35">
      <c r="A668" t="s">
        <v>1152</v>
      </c>
      <c r="B668" s="4">
        <v>45446</v>
      </c>
      <c r="C668" t="s">
        <v>21</v>
      </c>
      <c r="D668" t="s">
        <v>134</v>
      </c>
      <c r="E668" t="s">
        <v>23</v>
      </c>
      <c r="F668" t="s">
        <v>92</v>
      </c>
      <c r="G668" t="s">
        <v>441</v>
      </c>
      <c r="H668">
        <v>1758.26</v>
      </c>
      <c r="I668">
        <v>348.2</v>
      </c>
      <c r="J668">
        <v>8</v>
      </c>
      <c r="K668" t="s">
        <v>18</v>
      </c>
      <c r="L668" t="s">
        <v>58</v>
      </c>
    </row>
    <row r="669" spans="1:12" x14ac:dyDescent="0.35">
      <c r="A669" t="s">
        <v>597</v>
      </c>
      <c r="B669" s="4">
        <v>45566</v>
      </c>
      <c r="C669" t="s">
        <v>46</v>
      </c>
      <c r="D669" t="s">
        <v>47</v>
      </c>
      <c r="E669" t="s">
        <v>23</v>
      </c>
      <c r="F669" t="s">
        <v>24</v>
      </c>
      <c r="G669" t="s">
        <v>87</v>
      </c>
      <c r="H669">
        <v>1755.58</v>
      </c>
      <c r="I669">
        <v>601.29</v>
      </c>
      <c r="J669">
        <v>2</v>
      </c>
      <c r="K669" t="s">
        <v>18</v>
      </c>
      <c r="L669" t="s">
        <v>27</v>
      </c>
    </row>
    <row r="670" spans="1:12" x14ac:dyDescent="0.35">
      <c r="A670" t="s">
        <v>783</v>
      </c>
      <c r="B670" s="4">
        <v>45392</v>
      </c>
      <c r="C670" t="s">
        <v>46</v>
      </c>
      <c r="D670" t="s">
        <v>89</v>
      </c>
      <c r="E670" t="s">
        <v>23</v>
      </c>
      <c r="F670" t="s">
        <v>24</v>
      </c>
      <c r="G670" t="s">
        <v>87</v>
      </c>
      <c r="H670">
        <v>1751.97</v>
      </c>
      <c r="I670">
        <v>536.63</v>
      </c>
      <c r="J670">
        <v>7</v>
      </c>
      <c r="K670" t="s">
        <v>18</v>
      </c>
      <c r="L670" t="s">
        <v>58</v>
      </c>
    </row>
    <row r="671" spans="1:12" x14ac:dyDescent="0.35">
      <c r="A671" t="s">
        <v>652</v>
      </c>
      <c r="B671" s="4">
        <v>45536</v>
      </c>
      <c r="C671" t="s">
        <v>21</v>
      </c>
      <c r="D671" t="s">
        <v>134</v>
      </c>
      <c r="E671" t="s">
        <v>23</v>
      </c>
      <c r="F671" t="s">
        <v>69</v>
      </c>
      <c r="G671" t="s">
        <v>98</v>
      </c>
      <c r="H671">
        <v>1751.77</v>
      </c>
      <c r="I671">
        <v>334.53</v>
      </c>
      <c r="J671">
        <v>6</v>
      </c>
      <c r="K671" t="s">
        <v>32</v>
      </c>
      <c r="L671" t="s">
        <v>33</v>
      </c>
    </row>
    <row r="672" spans="1:12" x14ac:dyDescent="0.35">
      <c r="A672" t="s">
        <v>793</v>
      </c>
      <c r="B672" s="4">
        <v>45567</v>
      </c>
      <c r="C672" t="s">
        <v>35</v>
      </c>
      <c r="D672" t="s">
        <v>39</v>
      </c>
      <c r="E672" t="s">
        <v>51</v>
      </c>
      <c r="F672" t="s">
        <v>52</v>
      </c>
      <c r="G672" t="s">
        <v>185</v>
      </c>
      <c r="H672">
        <v>1749.94</v>
      </c>
      <c r="I672">
        <v>263.92</v>
      </c>
      <c r="J672">
        <v>3</v>
      </c>
      <c r="K672" t="s">
        <v>18</v>
      </c>
      <c r="L672" t="s">
        <v>78</v>
      </c>
    </row>
    <row r="673" spans="1:12" x14ac:dyDescent="0.35">
      <c r="A673" t="s">
        <v>511</v>
      </c>
      <c r="B673" s="4">
        <v>45467</v>
      </c>
      <c r="C673" t="s">
        <v>21</v>
      </c>
      <c r="D673" t="s">
        <v>22</v>
      </c>
      <c r="E673" t="s">
        <v>23</v>
      </c>
      <c r="F673" t="s">
        <v>69</v>
      </c>
      <c r="G673" t="s">
        <v>147</v>
      </c>
      <c r="H673">
        <v>1746.73</v>
      </c>
      <c r="I673">
        <v>141.49</v>
      </c>
      <c r="J673">
        <v>1</v>
      </c>
      <c r="K673" t="s">
        <v>26</v>
      </c>
      <c r="L673" t="s">
        <v>19</v>
      </c>
    </row>
    <row r="674" spans="1:12" x14ac:dyDescent="0.35">
      <c r="A674" t="s">
        <v>296</v>
      </c>
      <c r="B674" s="4">
        <v>45447</v>
      </c>
      <c r="C674" t="s">
        <v>13</v>
      </c>
      <c r="D674" t="s">
        <v>29</v>
      </c>
      <c r="E674" t="s">
        <v>15</v>
      </c>
      <c r="F674" t="s">
        <v>30</v>
      </c>
      <c r="G674" t="s">
        <v>297</v>
      </c>
      <c r="H674">
        <v>1745.57</v>
      </c>
      <c r="I674">
        <v>555.16</v>
      </c>
      <c r="J674">
        <v>6</v>
      </c>
      <c r="K674" t="s">
        <v>32</v>
      </c>
      <c r="L674" t="s">
        <v>61</v>
      </c>
    </row>
    <row r="675" spans="1:12" x14ac:dyDescent="0.35">
      <c r="A675" t="s">
        <v>485</v>
      </c>
      <c r="B675" s="4">
        <v>45295</v>
      </c>
      <c r="C675" t="s">
        <v>46</v>
      </c>
      <c r="D675" t="s">
        <v>89</v>
      </c>
      <c r="E675" t="s">
        <v>51</v>
      </c>
      <c r="F675" t="s">
        <v>74</v>
      </c>
      <c r="G675" t="s">
        <v>373</v>
      </c>
      <c r="H675">
        <v>1744.91</v>
      </c>
      <c r="I675">
        <v>369.67</v>
      </c>
      <c r="J675">
        <v>4</v>
      </c>
      <c r="K675" t="s">
        <v>18</v>
      </c>
      <c r="L675" t="s">
        <v>33</v>
      </c>
    </row>
    <row r="676" spans="1:12" x14ac:dyDescent="0.35">
      <c r="A676" t="s">
        <v>428</v>
      </c>
      <c r="B676" s="4">
        <v>45307</v>
      </c>
      <c r="C676" t="s">
        <v>13</v>
      </c>
      <c r="D676" t="s">
        <v>82</v>
      </c>
      <c r="E676" t="s">
        <v>15</v>
      </c>
      <c r="F676" t="s">
        <v>30</v>
      </c>
      <c r="G676" t="s">
        <v>37</v>
      </c>
      <c r="H676">
        <v>1739.49</v>
      </c>
      <c r="I676">
        <v>229.46</v>
      </c>
      <c r="J676">
        <v>7</v>
      </c>
      <c r="K676" t="s">
        <v>18</v>
      </c>
      <c r="L676" t="s">
        <v>42</v>
      </c>
    </row>
    <row r="677" spans="1:12" x14ac:dyDescent="0.35">
      <c r="A677" t="s">
        <v>594</v>
      </c>
      <c r="B677" s="4">
        <v>45361</v>
      </c>
      <c r="C677" t="s">
        <v>46</v>
      </c>
      <c r="D677" t="s">
        <v>56</v>
      </c>
      <c r="E677" t="s">
        <v>15</v>
      </c>
      <c r="F677" t="s">
        <v>40</v>
      </c>
      <c r="G677" t="s">
        <v>144</v>
      </c>
      <c r="H677">
        <v>1736.96</v>
      </c>
      <c r="I677">
        <v>572.24</v>
      </c>
      <c r="J677">
        <v>5</v>
      </c>
      <c r="K677" t="s">
        <v>26</v>
      </c>
      <c r="L677" t="s">
        <v>58</v>
      </c>
    </row>
    <row r="678" spans="1:12" x14ac:dyDescent="0.35">
      <c r="A678" t="s">
        <v>264</v>
      </c>
      <c r="B678" s="4">
        <v>45422</v>
      </c>
      <c r="C678" t="s">
        <v>21</v>
      </c>
      <c r="D678" t="s">
        <v>22</v>
      </c>
      <c r="E678" t="s">
        <v>23</v>
      </c>
      <c r="F678" t="s">
        <v>24</v>
      </c>
      <c r="G678" t="s">
        <v>265</v>
      </c>
      <c r="H678">
        <v>1727.21</v>
      </c>
      <c r="I678">
        <v>223.26</v>
      </c>
      <c r="J678">
        <v>4</v>
      </c>
      <c r="K678" t="s">
        <v>32</v>
      </c>
      <c r="L678" t="s">
        <v>78</v>
      </c>
    </row>
    <row r="679" spans="1:12" x14ac:dyDescent="0.35">
      <c r="A679" t="s">
        <v>697</v>
      </c>
      <c r="B679" s="4">
        <v>45425</v>
      </c>
      <c r="C679" t="s">
        <v>13</v>
      </c>
      <c r="D679" t="s">
        <v>82</v>
      </c>
      <c r="E679" t="s">
        <v>15</v>
      </c>
      <c r="F679" t="s">
        <v>30</v>
      </c>
      <c r="G679" t="s">
        <v>297</v>
      </c>
      <c r="H679">
        <v>1726.33</v>
      </c>
      <c r="I679">
        <v>484.53</v>
      </c>
      <c r="J679">
        <v>7</v>
      </c>
      <c r="K679" t="s">
        <v>26</v>
      </c>
      <c r="L679" t="s">
        <v>33</v>
      </c>
    </row>
    <row r="680" spans="1:12" x14ac:dyDescent="0.35">
      <c r="A680" t="s">
        <v>49</v>
      </c>
      <c r="B680" s="4">
        <v>45292</v>
      </c>
      <c r="C680" t="s">
        <v>35</v>
      </c>
      <c r="D680" t="s">
        <v>50</v>
      </c>
      <c r="E680" t="s">
        <v>51</v>
      </c>
      <c r="F680" t="s">
        <v>52</v>
      </c>
      <c r="G680" t="s">
        <v>53</v>
      </c>
      <c r="H680">
        <v>1725.98</v>
      </c>
      <c r="I680">
        <v>161.97999999999999</v>
      </c>
      <c r="J680">
        <v>10</v>
      </c>
      <c r="K680" t="s">
        <v>18</v>
      </c>
      <c r="L680" t="s">
        <v>54</v>
      </c>
    </row>
    <row r="681" spans="1:12" x14ac:dyDescent="0.35">
      <c r="A681" t="s">
        <v>686</v>
      </c>
      <c r="B681" s="4">
        <v>45473</v>
      </c>
      <c r="C681" t="s">
        <v>46</v>
      </c>
      <c r="D681" t="s">
        <v>47</v>
      </c>
      <c r="E681" t="s">
        <v>23</v>
      </c>
      <c r="F681" t="s">
        <v>92</v>
      </c>
      <c r="G681" t="s">
        <v>441</v>
      </c>
      <c r="H681">
        <v>1724.58</v>
      </c>
      <c r="I681">
        <v>568.02</v>
      </c>
      <c r="J681">
        <v>5</v>
      </c>
      <c r="K681" t="s">
        <v>32</v>
      </c>
      <c r="L681" t="s">
        <v>42</v>
      </c>
    </row>
    <row r="682" spans="1:12" x14ac:dyDescent="0.35">
      <c r="A682" t="s">
        <v>502</v>
      </c>
      <c r="B682" s="4">
        <v>45353</v>
      </c>
      <c r="C682" t="s">
        <v>21</v>
      </c>
      <c r="D682" t="s">
        <v>134</v>
      </c>
      <c r="E682" t="s">
        <v>15</v>
      </c>
      <c r="F682" t="s">
        <v>40</v>
      </c>
      <c r="G682" t="s">
        <v>144</v>
      </c>
      <c r="H682">
        <v>1688.24</v>
      </c>
      <c r="I682">
        <v>99.04</v>
      </c>
      <c r="J682">
        <v>10</v>
      </c>
      <c r="K682" t="s">
        <v>18</v>
      </c>
      <c r="L682" t="s">
        <v>78</v>
      </c>
    </row>
    <row r="683" spans="1:12" x14ac:dyDescent="0.35">
      <c r="A683" t="s">
        <v>172</v>
      </c>
      <c r="B683" s="4">
        <v>45447</v>
      </c>
      <c r="C683" t="s">
        <v>46</v>
      </c>
      <c r="D683" t="s">
        <v>89</v>
      </c>
      <c r="E683" t="s">
        <v>51</v>
      </c>
      <c r="F683" t="s">
        <v>66</v>
      </c>
      <c r="G683" t="s">
        <v>173</v>
      </c>
      <c r="H683">
        <v>1674.7</v>
      </c>
      <c r="I683">
        <v>340.72</v>
      </c>
      <c r="J683">
        <v>2</v>
      </c>
      <c r="K683" t="s">
        <v>18</v>
      </c>
      <c r="L683" t="s">
        <v>78</v>
      </c>
    </row>
    <row r="684" spans="1:12" x14ac:dyDescent="0.35">
      <c r="A684" t="s">
        <v>186</v>
      </c>
      <c r="B684" s="4">
        <v>45546</v>
      </c>
      <c r="C684" t="s">
        <v>46</v>
      </c>
      <c r="D684" t="s">
        <v>47</v>
      </c>
      <c r="E684" t="s">
        <v>51</v>
      </c>
      <c r="F684" t="s">
        <v>74</v>
      </c>
      <c r="G684" t="s">
        <v>187</v>
      </c>
      <c r="H684">
        <v>1668.36</v>
      </c>
      <c r="I684">
        <v>477.15</v>
      </c>
      <c r="J684">
        <v>4</v>
      </c>
      <c r="K684" t="s">
        <v>18</v>
      </c>
      <c r="L684" t="s">
        <v>78</v>
      </c>
    </row>
    <row r="685" spans="1:12" x14ac:dyDescent="0.35">
      <c r="A685" t="s">
        <v>934</v>
      </c>
      <c r="B685" s="4">
        <v>45527</v>
      </c>
      <c r="C685" t="s">
        <v>13</v>
      </c>
      <c r="D685" t="s">
        <v>82</v>
      </c>
      <c r="E685" t="s">
        <v>51</v>
      </c>
      <c r="F685" t="s">
        <v>74</v>
      </c>
      <c r="G685" t="s">
        <v>294</v>
      </c>
      <c r="H685">
        <v>1667.21</v>
      </c>
      <c r="I685">
        <v>169.52</v>
      </c>
      <c r="J685">
        <v>10</v>
      </c>
      <c r="K685" t="s">
        <v>26</v>
      </c>
      <c r="L685" t="s">
        <v>78</v>
      </c>
    </row>
    <row r="686" spans="1:12" x14ac:dyDescent="0.35">
      <c r="A686" t="s">
        <v>473</v>
      </c>
      <c r="B686" s="4">
        <v>45589</v>
      </c>
      <c r="C686" t="s">
        <v>13</v>
      </c>
      <c r="D686" t="s">
        <v>82</v>
      </c>
      <c r="E686" t="s">
        <v>15</v>
      </c>
      <c r="F686" t="s">
        <v>40</v>
      </c>
      <c r="G686" t="s">
        <v>249</v>
      </c>
      <c r="H686">
        <v>1665.06</v>
      </c>
      <c r="I686">
        <v>249.17</v>
      </c>
      <c r="J686">
        <v>2</v>
      </c>
      <c r="K686" t="s">
        <v>26</v>
      </c>
      <c r="L686" t="s">
        <v>33</v>
      </c>
    </row>
    <row r="687" spans="1:12" x14ac:dyDescent="0.35">
      <c r="A687" t="s">
        <v>528</v>
      </c>
      <c r="B687" s="4">
        <v>45494</v>
      </c>
      <c r="C687" t="s">
        <v>13</v>
      </c>
      <c r="D687" t="s">
        <v>29</v>
      </c>
      <c r="E687" t="s">
        <v>15</v>
      </c>
      <c r="F687" t="s">
        <v>30</v>
      </c>
      <c r="G687" t="s">
        <v>529</v>
      </c>
      <c r="H687">
        <v>1660.44</v>
      </c>
      <c r="I687">
        <v>170.94</v>
      </c>
      <c r="J687">
        <v>5</v>
      </c>
      <c r="K687" t="s">
        <v>26</v>
      </c>
      <c r="L687" t="s">
        <v>42</v>
      </c>
    </row>
    <row r="688" spans="1:12" x14ac:dyDescent="0.35">
      <c r="A688" t="s">
        <v>363</v>
      </c>
      <c r="B688" s="4">
        <v>45543</v>
      </c>
      <c r="C688" t="s">
        <v>35</v>
      </c>
      <c r="D688" t="s">
        <v>36</v>
      </c>
      <c r="E688" t="s">
        <v>51</v>
      </c>
      <c r="F688" t="s">
        <v>66</v>
      </c>
      <c r="G688" t="s">
        <v>242</v>
      </c>
      <c r="H688">
        <v>1655.8</v>
      </c>
      <c r="I688">
        <v>175.34</v>
      </c>
      <c r="J688">
        <v>9</v>
      </c>
      <c r="K688" t="s">
        <v>26</v>
      </c>
      <c r="L688" t="s">
        <v>54</v>
      </c>
    </row>
    <row r="689" spans="1:12" x14ac:dyDescent="0.35">
      <c r="A689" t="s">
        <v>73</v>
      </c>
      <c r="B689" s="4">
        <v>45591</v>
      </c>
      <c r="C689" t="s">
        <v>13</v>
      </c>
      <c r="D689" t="s">
        <v>29</v>
      </c>
      <c r="E689" t="s">
        <v>51</v>
      </c>
      <c r="F689" t="s">
        <v>74</v>
      </c>
      <c r="G689" t="s">
        <v>75</v>
      </c>
      <c r="H689">
        <v>1649.07</v>
      </c>
      <c r="I689">
        <v>187.13</v>
      </c>
      <c r="J689">
        <v>4</v>
      </c>
      <c r="K689" t="s">
        <v>32</v>
      </c>
      <c r="L689" t="s">
        <v>61</v>
      </c>
    </row>
    <row r="690" spans="1:12" x14ac:dyDescent="0.35">
      <c r="A690" t="s">
        <v>582</v>
      </c>
      <c r="B690" s="4">
        <v>45516</v>
      </c>
      <c r="C690" t="s">
        <v>13</v>
      </c>
      <c r="D690" t="s">
        <v>14</v>
      </c>
      <c r="E690" t="s">
        <v>23</v>
      </c>
      <c r="F690" t="s">
        <v>69</v>
      </c>
      <c r="G690" t="s">
        <v>465</v>
      </c>
      <c r="H690">
        <v>1643.9</v>
      </c>
      <c r="I690">
        <v>199.7</v>
      </c>
      <c r="J690">
        <v>5</v>
      </c>
      <c r="K690" t="s">
        <v>32</v>
      </c>
      <c r="L690" t="s">
        <v>58</v>
      </c>
    </row>
    <row r="691" spans="1:12" x14ac:dyDescent="0.35">
      <c r="A691" t="s">
        <v>434</v>
      </c>
      <c r="B691" s="4">
        <v>45340</v>
      </c>
      <c r="C691" t="s">
        <v>46</v>
      </c>
      <c r="D691" t="s">
        <v>89</v>
      </c>
      <c r="E691" t="s">
        <v>15</v>
      </c>
      <c r="F691" t="s">
        <v>40</v>
      </c>
      <c r="G691" t="s">
        <v>127</v>
      </c>
      <c r="H691">
        <v>1642.72</v>
      </c>
      <c r="I691">
        <v>130.16</v>
      </c>
      <c r="J691">
        <v>2</v>
      </c>
      <c r="K691" t="s">
        <v>26</v>
      </c>
      <c r="L691" t="s">
        <v>27</v>
      </c>
    </row>
    <row r="692" spans="1:12" x14ac:dyDescent="0.35">
      <c r="A692" t="s">
        <v>1079</v>
      </c>
      <c r="B692" s="4">
        <v>45555</v>
      </c>
      <c r="C692" t="s">
        <v>21</v>
      </c>
      <c r="D692" t="s">
        <v>134</v>
      </c>
      <c r="E692" t="s">
        <v>51</v>
      </c>
      <c r="F692" t="s">
        <v>66</v>
      </c>
      <c r="G692" t="s">
        <v>239</v>
      </c>
      <c r="H692">
        <v>1640.27</v>
      </c>
      <c r="I692">
        <v>363.42</v>
      </c>
      <c r="J692">
        <v>10</v>
      </c>
      <c r="K692" t="s">
        <v>18</v>
      </c>
      <c r="L692" t="s">
        <v>19</v>
      </c>
    </row>
    <row r="693" spans="1:12" x14ac:dyDescent="0.35">
      <c r="A693" t="s">
        <v>408</v>
      </c>
      <c r="B693" s="4">
        <v>45402</v>
      </c>
      <c r="C693" t="s">
        <v>21</v>
      </c>
      <c r="D693" t="s">
        <v>134</v>
      </c>
      <c r="E693" t="s">
        <v>51</v>
      </c>
      <c r="F693" t="s">
        <v>74</v>
      </c>
      <c r="G693" t="s">
        <v>277</v>
      </c>
      <c r="H693">
        <v>1640.17</v>
      </c>
      <c r="I693">
        <v>309.54000000000002</v>
      </c>
      <c r="J693">
        <v>8</v>
      </c>
      <c r="K693" t="s">
        <v>18</v>
      </c>
      <c r="L693" t="s">
        <v>33</v>
      </c>
    </row>
    <row r="694" spans="1:12" x14ac:dyDescent="0.35">
      <c r="A694" t="s">
        <v>998</v>
      </c>
      <c r="B694" s="4">
        <v>45500</v>
      </c>
      <c r="C694" t="s">
        <v>13</v>
      </c>
      <c r="D694" t="s">
        <v>82</v>
      </c>
      <c r="E694" t="s">
        <v>51</v>
      </c>
      <c r="F694" t="s">
        <v>66</v>
      </c>
      <c r="G694" t="s">
        <v>85</v>
      </c>
      <c r="H694">
        <v>1638.01</v>
      </c>
      <c r="I694">
        <v>171.48</v>
      </c>
      <c r="J694">
        <v>7</v>
      </c>
      <c r="K694" t="s">
        <v>18</v>
      </c>
      <c r="L694" t="s">
        <v>61</v>
      </c>
    </row>
    <row r="695" spans="1:12" x14ac:dyDescent="0.35">
      <c r="A695" t="s">
        <v>401</v>
      </c>
      <c r="B695" s="4">
        <v>45338</v>
      </c>
      <c r="C695" t="s">
        <v>13</v>
      </c>
      <c r="D695" t="s">
        <v>14</v>
      </c>
      <c r="E695" t="s">
        <v>15</v>
      </c>
      <c r="F695" t="s">
        <v>16</v>
      </c>
      <c r="G695" t="s">
        <v>402</v>
      </c>
      <c r="H695">
        <v>1636.92</v>
      </c>
      <c r="I695">
        <v>468.34</v>
      </c>
      <c r="J695">
        <v>5</v>
      </c>
      <c r="K695" t="s">
        <v>32</v>
      </c>
      <c r="L695" t="s">
        <v>19</v>
      </c>
    </row>
    <row r="696" spans="1:12" x14ac:dyDescent="0.35">
      <c r="A696" t="s">
        <v>671</v>
      </c>
      <c r="B696" s="4">
        <v>45412</v>
      </c>
      <c r="C696" t="s">
        <v>21</v>
      </c>
      <c r="D696" t="s">
        <v>65</v>
      </c>
      <c r="E696" t="s">
        <v>15</v>
      </c>
      <c r="F696" t="s">
        <v>40</v>
      </c>
      <c r="G696" t="s">
        <v>672</v>
      </c>
      <c r="H696">
        <v>1629.54</v>
      </c>
      <c r="I696">
        <v>316.56</v>
      </c>
      <c r="J696">
        <v>8</v>
      </c>
      <c r="K696" t="s">
        <v>26</v>
      </c>
      <c r="L696" t="s">
        <v>78</v>
      </c>
    </row>
    <row r="697" spans="1:12" x14ac:dyDescent="0.35">
      <c r="A697" t="s">
        <v>336</v>
      </c>
      <c r="B697" s="4">
        <v>45620</v>
      </c>
      <c r="C697" t="s">
        <v>21</v>
      </c>
      <c r="D697" t="s">
        <v>22</v>
      </c>
      <c r="E697" t="s">
        <v>51</v>
      </c>
      <c r="F697" t="s">
        <v>66</v>
      </c>
      <c r="G697" t="s">
        <v>244</v>
      </c>
      <c r="H697">
        <v>1618.4</v>
      </c>
      <c r="I697">
        <v>138.11000000000001</v>
      </c>
      <c r="J697">
        <v>6</v>
      </c>
      <c r="K697" t="s">
        <v>18</v>
      </c>
      <c r="L697" t="s">
        <v>42</v>
      </c>
    </row>
    <row r="698" spans="1:12" x14ac:dyDescent="0.35">
      <c r="A698" t="s">
        <v>406</v>
      </c>
      <c r="B698" s="4">
        <v>45379</v>
      </c>
      <c r="C698" t="s">
        <v>21</v>
      </c>
      <c r="D698" t="s">
        <v>22</v>
      </c>
      <c r="E698" t="s">
        <v>15</v>
      </c>
      <c r="F698" t="s">
        <v>30</v>
      </c>
      <c r="G698" t="s">
        <v>271</v>
      </c>
      <c r="H698">
        <v>1611.81</v>
      </c>
      <c r="I698">
        <v>174.65</v>
      </c>
      <c r="J698">
        <v>10</v>
      </c>
      <c r="K698" t="s">
        <v>32</v>
      </c>
      <c r="L698" t="s">
        <v>58</v>
      </c>
    </row>
    <row r="699" spans="1:12" x14ac:dyDescent="0.35">
      <c r="A699" t="s">
        <v>381</v>
      </c>
      <c r="B699" s="4">
        <v>45618</v>
      </c>
      <c r="C699" t="s">
        <v>21</v>
      </c>
      <c r="D699" t="s">
        <v>65</v>
      </c>
      <c r="E699" t="s">
        <v>15</v>
      </c>
      <c r="F699" t="s">
        <v>40</v>
      </c>
      <c r="G699" t="s">
        <v>163</v>
      </c>
      <c r="H699">
        <v>1610.4</v>
      </c>
      <c r="I699">
        <v>207.25</v>
      </c>
      <c r="J699">
        <v>5</v>
      </c>
      <c r="K699" t="s">
        <v>26</v>
      </c>
      <c r="L699" t="s">
        <v>58</v>
      </c>
    </row>
    <row r="700" spans="1:12" x14ac:dyDescent="0.35">
      <c r="A700" t="s">
        <v>899</v>
      </c>
      <c r="B700" s="4">
        <v>45314</v>
      </c>
      <c r="C700" t="s">
        <v>35</v>
      </c>
      <c r="D700" t="s">
        <v>50</v>
      </c>
      <c r="E700" t="s">
        <v>15</v>
      </c>
      <c r="F700" t="s">
        <v>16</v>
      </c>
      <c r="G700" t="s">
        <v>199</v>
      </c>
      <c r="H700">
        <v>1603.98</v>
      </c>
      <c r="I700">
        <v>241.41</v>
      </c>
      <c r="J700">
        <v>4</v>
      </c>
      <c r="K700" t="s">
        <v>18</v>
      </c>
      <c r="L700" t="s">
        <v>78</v>
      </c>
    </row>
    <row r="701" spans="1:12" x14ac:dyDescent="0.35">
      <c r="A701" t="s">
        <v>1026</v>
      </c>
      <c r="B701" s="4">
        <v>45635</v>
      </c>
      <c r="C701" t="s">
        <v>13</v>
      </c>
      <c r="D701" t="s">
        <v>29</v>
      </c>
      <c r="E701" t="s">
        <v>15</v>
      </c>
      <c r="F701" t="s">
        <v>30</v>
      </c>
      <c r="G701" t="s">
        <v>105</v>
      </c>
      <c r="H701">
        <v>1599.72</v>
      </c>
      <c r="I701">
        <v>273.41000000000003</v>
      </c>
      <c r="J701">
        <v>9</v>
      </c>
      <c r="K701" t="s">
        <v>18</v>
      </c>
      <c r="L701" t="s">
        <v>42</v>
      </c>
    </row>
    <row r="702" spans="1:12" x14ac:dyDescent="0.35">
      <c r="A702" t="s">
        <v>273</v>
      </c>
      <c r="B702" s="4">
        <v>45339</v>
      </c>
      <c r="C702" t="s">
        <v>35</v>
      </c>
      <c r="D702" t="s">
        <v>39</v>
      </c>
      <c r="E702" t="s">
        <v>51</v>
      </c>
      <c r="F702" t="s">
        <v>74</v>
      </c>
      <c r="G702" t="s">
        <v>251</v>
      </c>
      <c r="H702">
        <v>1598.33</v>
      </c>
      <c r="I702">
        <v>326.33999999999997</v>
      </c>
      <c r="J702">
        <v>10</v>
      </c>
      <c r="K702" t="s">
        <v>18</v>
      </c>
      <c r="L702" t="s">
        <v>33</v>
      </c>
    </row>
    <row r="703" spans="1:12" x14ac:dyDescent="0.35">
      <c r="A703" t="s">
        <v>772</v>
      </c>
      <c r="B703" s="4">
        <v>45416</v>
      </c>
      <c r="C703" t="s">
        <v>35</v>
      </c>
      <c r="D703" t="s">
        <v>36</v>
      </c>
      <c r="E703" t="s">
        <v>15</v>
      </c>
      <c r="F703" t="s">
        <v>16</v>
      </c>
      <c r="G703" t="s">
        <v>269</v>
      </c>
      <c r="H703">
        <v>1597.49</v>
      </c>
      <c r="I703">
        <v>356.61</v>
      </c>
      <c r="J703">
        <v>8</v>
      </c>
      <c r="K703" t="s">
        <v>26</v>
      </c>
      <c r="L703" t="s">
        <v>78</v>
      </c>
    </row>
    <row r="704" spans="1:12" x14ac:dyDescent="0.35">
      <c r="A704" t="s">
        <v>543</v>
      </c>
      <c r="B704" s="4">
        <v>45399</v>
      </c>
      <c r="C704" t="s">
        <v>35</v>
      </c>
      <c r="D704" t="s">
        <v>50</v>
      </c>
      <c r="E704" t="s">
        <v>15</v>
      </c>
      <c r="F704" t="s">
        <v>40</v>
      </c>
      <c r="G704" t="s">
        <v>544</v>
      </c>
      <c r="H704">
        <v>1590.21</v>
      </c>
      <c r="I704">
        <v>442.89</v>
      </c>
      <c r="J704">
        <v>5</v>
      </c>
      <c r="K704" t="s">
        <v>32</v>
      </c>
      <c r="L704" t="s">
        <v>42</v>
      </c>
    </row>
    <row r="705" spans="1:12" x14ac:dyDescent="0.35">
      <c r="A705" t="s">
        <v>914</v>
      </c>
      <c r="B705" s="4">
        <v>45309</v>
      </c>
      <c r="C705" t="s">
        <v>35</v>
      </c>
      <c r="D705" t="s">
        <v>39</v>
      </c>
      <c r="E705" t="s">
        <v>23</v>
      </c>
      <c r="F705" t="s">
        <v>69</v>
      </c>
      <c r="G705" t="s">
        <v>161</v>
      </c>
      <c r="H705">
        <v>1588.06</v>
      </c>
      <c r="I705">
        <v>105.83</v>
      </c>
      <c r="J705">
        <v>6</v>
      </c>
      <c r="K705" t="s">
        <v>26</v>
      </c>
      <c r="L705" t="s">
        <v>54</v>
      </c>
    </row>
    <row r="706" spans="1:12" x14ac:dyDescent="0.35">
      <c r="A706" t="s">
        <v>371</v>
      </c>
      <c r="B706" s="4">
        <v>45313</v>
      </c>
      <c r="C706" t="s">
        <v>35</v>
      </c>
      <c r="D706" t="s">
        <v>50</v>
      </c>
      <c r="E706" t="s">
        <v>23</v>
      </c>
      <c r="F706" t="s">
        <v>69</v>
      </c>
      <c r="G706" t="s">
        <v>355</v>
      </c>
      <c r="H706">
        <v>1575.79</v>
      </c>
      <c r="I706">
        <v>424.35</v>
      </c>
      <c r="J706">
        <v>6</v>
      </c>
      <c r="K706" t="s">
        <v>18</v>
      </c>
      <c r="L706" t="s">
        <v>19</v>
      </c>
    </row>
    <row r="707" spans="1:12" x14ac:dyDescent="0.35">
      <c r="A707" t="s">
        <v>1115</v>
      </c>
      <c r="B707" s="4">
        <v>45369</v>
      </c>
      <c r="C707" t="s">
        <v>21</v>
      </c>
      <c r="D707" t="s">
        <v>134</v>
      </c>
      <c r="E707" t="s">
        <v>51</v>
      </c>
      <c r="F707" t="s">
        <v>74</v>
      </c>
      <c r="G707" t="s">
        <v>210</v>
      </c>
      <c r="H707">
        <v>1572.5</v>
      </c>
      <c r="I707">
        <v>229.25</v>
      </c>
      <c r="J707">
        <v>10</v>
      </c>
      <c r="K707" t="s">
        <v>26</v>
      </c>
      <c r="L707" t="s">
        <v>27</v>
      </c>
    </row>
    <row r="708" spans="1:12" x14ac:dyDescent="0.35">
      <c r="A708" t="s">
        <v>321</v>
      </c>
      <c r="B708" s="4">
        <v>45608</v>
      </c>
      <c r="C708" t="s">
        <v>46</v>
      </c>
      <c r="D708" t="s">
        <v>47</v>
      </c>
      <c r="E708" t="s">
        <v>15</v>
      </c>
      <c r="F708" t="s">
        <v>30</v>
      </c>
      <c r="G708" t="s">
        <v>322</v>
      </c>
      <c r="H708">
        <v>1565.2</v>
      </c>
      <c r="I708">
        <v>312.11</v>
      </c>
      <c r="J708">
        <v>7</v>
      </c>
      <c r="K708" t="s">
        <v>32</v>
      </c>
      <c r="L708" t="s">
        <v>61</v>
      </c>
    </row>
    <row r="709" spans="1:12" x14ac:dyDescent="0.35">
      <c r="A709" t="s">
        <v>614</v>
      </c>
      <c r="B709" s="4">
        <v>45429</v>
      </c>
      <c r="C709" t="s">
        <v>35</v>
      </c>
      <c r="D709" t="s">
        <v>39</v>
      </c>
      <c r="E709" t="s">
        <v>51</v>
      </c>
      <c r="F709" t="s">
        <v>52</v>
      </c>
      <c r="G709" t="s">
        <v>140</v>
      </c>
      <c r="H709">
        <v>1561.86</v>
      </c>
      <c r="I709">
        <v>320.02999999999997</v>
      </c>
      <c r="J709">
        <v>7</v>
      </c>
      <c r="K709" t="s">
        <v>26</v>
      </c>
      <c r="L709" t="s">
        <v>27</v>
      </c>
    </row>
    <row r="710" spans="1:12" x14ac:dyDescent="0.35">
      <c r="A710" t="s">
        <v>930</v>
      </c>
      <c r="B710" s="4">
        <v>45558</v>
      </c>
      <c r="C710" t="s">
        <v>13</v>
      </c>
      <c r="D710" t="s">
        <v>82</v>
      </c>
      <c r="E710" t="s">
        <v>23</v>
      </c>
      <c r="F710" t="s">
        <v>69</v>
      </c>
      <c r="G710" t="s">
        <v>519</v>
      </c>
      <c r="H710">
        <v>1561.21</v>
      </c>
      <c r="I710">
        <v>418.1</v>
      </c>
      <c r="J710">
        <v>9</v>
      </c>
      <c r="K710" t="s">
        <v>18</v>
      </c>
      <c r="L710" t="s">
        <v>27</v>
      </c>
    </row>
    <row r="711" spans="1:12" x14ac:dyDescent="0.35">
      <c r="A711" t="s">
        <v>997</v>
      </c>
      <c r="B711" s="4">
        <v>45545</v>
      </c>
      <c r="C711" t="s">
        <v>21</v>
      </c>
      <c r="D711" t="s">
        <v>22</v>
      </c>
      <c r="E711" t="s">
        <v>23</v>
      </c>
      <c r="F711" t="s">
        <v>69</v>
      </c>
      <c r="G711" t="s">
        <v>107</v>
      </c>
      <c r="H711">
        <v>1558.53</v>
      </c>
      <c r="I711">
        <v>344.95</v>
      </c>
      <c r="J711">
        <v>10</v>
      </c>
      <c r="K711" t="s">
        <v>32</v>
      </c>
      <c r="L711" t="s">
        <v>27</v>
      </c>
    </row>
    <row r="712" spans="1:12" x14ac:dyDescent="0.35">
      <c r="A712" t="s">
        <v>921</v>
      </c>
      <c r="B712" s="4">
        <v>45363</v>
      </c>
      <c r="C712" t="s">
        <v>35</v>
      </c>
      <c r="D712" t="s">
        <v>50</v>
      </c>
      <c r="E712" t="s">
        <v>15</v>
      </c>
      <c r="F712" t="s">
        <v>16</v>
      </c>
      <c r="G712" t="s">
        <v>199</v>
      </c>
      <c r="H712">
        <v>1552.83</v>
      </c>
      <c r="I712">
        <v>217.17</v>
      </c>
      <c r="J712">
        <v>6</v>
      </c>
      <c r="K712" t="s">
        <v>26</v>
      </c>
      <c r="L712" t="s">
        <v>58</v>
      </c>
    </row>
    <row r="713" spans="1:12" x14ac:dyDescent="0.35">
      <c r="A713" t="s">
        <v>116</v>
      </c>
      <c r="B713" s="4">
        <v>45481</v>
      </c>
      <c r="C713" t="s">
        <v>13</v>
      </c>
      <c r="D713" t="s">
        <v>29</v>
      </c>
      <c r="E713" t="s">
        <v>15</v>
      </c>
      <c r="F713" t="s">
        <v>16</v>
      </c>
      <c r="G713" t="s">
        <v>117</v>
      </c>
      <c r="H713">
        <v>1550.98</v>
      </c>
      <c r="I713">
        <v>109.58</v>
      </c>
      <c r="J713">
        <v>9</v>
      </c>
      <c r="K713" t="s">
        <v>32</v>
      </c>
      <c r="L713" t="s">
        <v>19</v>
      </c>
    </row>
    <row r="714" spans="1:12" x14ac:dyDescent="0.35">
      <c r="A714" t="s">
        <v>487</v>
      </c>
      <c r="B714" s="4">
        <v>45632</v>
      </c>
      <c r="C714" t="s">
        <v>46</v>
      </c>
      <c r="D714" t="s">
        <v>56</v>
      </c>
      <c r="E714" t="s">
        <v>15</v>
      </c>
      <c r="F714" t="s">
        <v>40</v>
      </c>
      <c r="G714" t="s">
        <v>249</v>
      </c>
      <c r="H714">
        <v>1541.01</v>
      </c>
      <c r="I714">
        <v>429</v>
      </c>
      <c r="J714">
        <v>6</v>
      </c>
      <c r="K714" t="s">
        <v>26</v>
      </c>
      <c r="L714" t="s">
        <v>33</v>
      </c>
    </row>
    <row r="715" spans="1:12" x14ac:dyDescent="0.35">
      <c r="A715" t="s">
        <v>689</v>
      </c>
      <c r="B715" s="4">
        <v>45505</v>
      </c>
      <c r="C715" t="s">
        <v>13</v>
      </c>
      <c r="D715" t="s">
        <v>14</v>
      </c>
      <c r="E715" t="s">
        <v>15</v>
      </c>
      <c r="F715" t="s">
        <v>40</v>
      </c>
      <c r="G715" t="s">
        <v>690</v>
      </c>
      <c r="H715">
        <v>1537.43</v>
      </c>
      <c r="I715">
        <v>492.28</v>
      </c>
      <c r="J715">
        <v>3</v>
      </c>
      <c r="K715" t="s">
        <v>26</v>
      </c>
      <c r="L715" t="s">
        <v>27</v>
      </c>
    </row>
    <row r="716" spans="1:12" x14ac:dyDescent="0.35">
      <c r="A716" t="s">
        <v>1014</v>
      </c>
      <c r="B716" s="4">
        <v>45469</v>
      </c>
      <c r="C716" t="s">
        <v>35</v>
      </c>
      <c r="D716" t="s">
        <v>50</v>
      </c>
      <c r="E716" t="s">
        <v>15</v>
      </c>
      <c r="F716" t="s">
        <v>16</v>
      </c>
      <c r="G716" t="s">
        <v>284</v>
      </c>
      <c r="H716">
        <v>1530.63</v>
      </c>
      <c r="I716">
        <v>379.85</v>
      </c>
      <c r="J716">
        <v>4</v>
      </c>
      <c r="K716" t="s">
        <v>18</v>
      </c>
      <c r="L716" t="s">
        <v>54</v>
      </c>
    </row>
    <row r="717" spans="1:12" x14ac:dyDescent="0.35">
      <c r="A717" t="s">
        <v>741</v>
      </c>
      <c r="B717" s="4">
        <v>45634</v>
      </c>
      <c r="C717" t="s">
        <v>21</v>
      </c>
      <c r="D717" t="s">
        <v>134</v>
      </c>
      <c r="E717" t="s">
        <v>51</v>
      </c>
      <c r="F717" t="s">
        <v>66</v>
      </c>
      <c r="G717" t="s">
        <v>396</v>
      </c>
      <c r="H717">
        <v>1529.03</v>
      </c>
      <c r="I717">
        <v>299.92</v>
      </c>
      <c r="J717">
        <v>1</v>
      </c>
      <c r="K717" t="s">
        <v>18</v>
      </c>
      <c r="L717" t="s">
        <v>42</v>
      </c>
    </row>
    <row r="718" spans="1:12" x14ac:dyDescent="0.35">
      <c r="A718" t="s">
        <v>1218</v>
      </c>
      <c r="B718" s="4">
        <v>45553</v>
      </c>
      <c r="C718" t="s">
        <v>13</v>
      </c>
      <c r="D718" t="s">
        <v>29</v>
      </c>
      <c r="E718" t="s">
        <v>23</v>
      </c>
      <c r="F718" t="s">
        <v>24</v>
      </c>
      <c r="G718" t="s">
        <v>281</v>
      </c>
      <c r="H718">
        <v>1526.8</v>
      </c>
      <c r="I718">
        <v>120.96</v>
      </c>
      <c r="J718">
        <v>7</v>
      </c>
      <c r="K718" t="s">
        <v>18</v>
      </c>
      <c r="L718" t="s">
        <v>42</v>
      </c>
    </row>
    <row r="719" spans="1:12" x14ac:dyDescent="0.35">
      <c r="A719" t="s">
        <v>1020</v>
      </c>
      <c r="B719" s="4">
        <v>45303</v>
      </c>
      <c r="C719" t="s">
        <v>13</v>
      </c>
      <c r="D719" t="s">
        <v>14</v>
      </c>
      <c r="E719" t="s">
        <v>15</v>
      </c>
      <c r="F719" t="s">
        <v>30</v>
      </c>
      <c r="G719" t="s">
        <v>72</v>
      </c>
      <c r="H719">
        <v>1526.14</v>
      </c>
      <c r="I719">
        <v>364.22</v>
      </c>
      <c r="J719">
        <v>5</v>
      </c>
      <c r="K719" t="s">
        <v>26</v>
      </c>
      <c r="L719" t="s">
        <v>58</v>
      </c>
    </row>
    <row r="720" spans="1:12" x14ac:dyDescent="0.35">
      <c r="A720" t="s">
        <v>174</v>
      </c>
      <c r="B720" s="4">
        <v>45356</v>
      </c>
      <c r="C720" t="s">
        <v>46</v>
      </c>
      <c r="D720" t="s">
        <v>47</v>
      </c>
      <c r="E720" t="s">
        <v>15</v>
      </c>
      <c r="F720" t="s">
        <v>30</v>
      </c>
      <c r="G720" t="s">
        <v>63</v>
      </c>
      <c r="H720">
        <v>1523.45</v>
      </c>
      <c r="I720">
        <v>253.39</v>
      </c>
      <c r="J720">
        <v>8</v>
      </c>
      <c r="K720" t="s">
        <v>32</v>
      </c>
      <c r="L720" t="s">
        <v>42</v>
      </c>
    </row>
    <row r="721" spans="1:12" x14ac:dyDescent="0.35">
      <c r="A721" t="s">
        <v>929</v>
      </c>
      <c r="B721" s="4">
        <v>45385</v>
      </c>
      <c r="C721" t="s">
        <v>46</v>
      </c>
      <c r="D721" t="s">
        <v>89</v>
      </c>
      <c r="E721" t="s">
        <v>51</v>
      </c>
      <c r="F721" t="s">
        <v>74</v>
      </c>
      <c r="G721" t="s">
        <v>593</v>
      </c>
      <c r="H721">
        <v>1507.38</v>
      </c>
      <c r="I721">
        <v>473.69</v>
      </c>
      <c r="J721">
        <v>3</v>
      </c>
      <c r="K721" t="s">
        <v>18</v>
      </c>
      <c r="L721" t="s">
        <v>19</v>
      </c>
    </row>
    <row r="722" spans="1:12" x14ac:dyDescent="0.35">
      <c r="A722" t="s">
        <v>1205</v>
      </c>
      <c r="B722" s="4">
        <v>45654</v>
      </c>
      <c r="C722" t="s">
        <v>46</v>
      </c>
      <c r="D722" t="s">
        <v>56</v>
      </c>
      <c r="E722" t="s">
        <v>23</v>
      </c>
      <c r="F722" t="s">
        <v>92</v>
      </c>
      <c r="G722" t="s">
        <v>566</v>
      </c>
      <c r="H722">
        <v>1495.24</v>
      </c>
      <c r="I722">
        <v>139.19</v>
      </c>
      <c r="J722">
        <v>5</v>
      </c>
      <c r="K722" t="s">
        <v>32</v>
      </c>
      <c r="L722" t="s">
        <v>58</v>
      </c>
    </row>
    <row r="723" spans="1:12" x14ac:dyDescent="0.35">
      <c r="A723" t="s">
        <v>1189</v>
      </c>
      <c r="B723" s="4">
        <v>45526</v>
      </c>
      <c r="C723" t="s">
        <v>35</v>
      </c>
      <c r="D723" t="s">
        <v>50</v>
      </c>
      <c r="E723" t="s">
        <v>23</v>
      </c>
      <c r="F723" t="s">
        <v>24</v>
      </c>
      <c r="G723" t="s">
        <v>299</v>
      </c>
      <c r="H723">
        <v>1494.91</v>
      </c>
      <c r="I723">
        <v>422.52</v>
      </c>
      <c r="J723">
        <v>1</v>
      </c>
      <c r="K723" t="s">
        <v>32</v>
      </c>
      <c r="L723" t="s">
        <v>42</v>
      </c>
    </row>
    <row r="724" spans="1:12" x14ac:dyDescent="0.35">
      <c r="A724" t="s">
        <v>483</v>
      </c>
      <c r="B724" s="4">
        <v>45464</v>
      </c>
      <c r="C724" t="s">
        <v>35</v>
      </c>
      <c r="D724" t="s">
        <v>39</v>
      </c>
      <c r="E724" t="s">
        <v>15</v>
      </c>
      <c r="F724" t="s">
        <v>16</v>
      </c>
      <c r="G724" t="s">
        <v>17</v>
      </c>
      <c r="H724">
        <v>1489.25</v>
      </c>
      <c r="I724">
        <v>189.77</v>
      </c>
      <c r="J724">
        <v>3</v>
      </c>
      <c r="K724" t="s">
        <v>18</v>
      </c>
      <c r="L724" t="s">
        <v>42</v>
      </c>
    </row>
    <row r="725" spans="1:12" x14ac:dyDescent="0.35">
      <c r="A725" t="s">
        <v>341</v>
      </c>
      <c r="B725" s="4">
        <v>45371</v>
      </c>
      <c r="C725" t="s">
        <v>46</v>
      </c>
      <c r="D725" t="s">
        <v>56</v>
      </c>
      <c r="E725" t="s">
        <v>23</v>
      </c>
      <c r="F725" t="s">
        <v>24</v>
      </c>
      <c r="G725" t="s">
        <v>103</v>
      </c>
      <c r="H725">
        <v>1487.63</v>
      </c>
      <c r="I725">
        <v>487.15</v>
      </c>
      <c r="J725">
        <v>8</v>
      </c>
      <c r="K725" t="s">
        <v>18</v>
      </c>
      <c r="L725" t="s">
        <v>42</v>
      </c>
    </row>
    <row r="726" spans="1:12" x14ac:dyDescent="0.35">
      <c r="A726" t="s">
        <v>1114</v>
      </c>
      <c r="B726" s="4">
        <v>45655</v>
      </c>
      <c r="C726" t="s">
        <v>13</v>
      </c>
      <c r="D726" t="s">
        <v>82</v>
      </c>
      <c r="E726" t="s">
        <v>23</v>
      </c>
      <c r="F726" t="s">
        <v>92</v>
      </c>
      <c r="G726" t="s">
        <v>142</v>
      </c>
      <c r="H726">
        <v>1472.68</v>
      </c>
      <c r="I726">
        <v>347.85</v>
      </c>
      <c r="J726">
        <v>4</v>
      </c>
      <c r="K726" t="s">
        <v>32</v>
      </c>
      <c r="L726" t="s">
        <v>78</v>
      </c>
    </row>
    <row r="727" spans="1:12" x14ac:dyDescent="0.35">
      <c r="A727" t="s">
        <v>425</v>
      </c>
      <c r="B727" s="4">
        <v>45474</v>
      </c>
      <c r="C727" t="s">
        <v>35</v>
      </c>
      <c r="D727" t="s">
        <v>36</v>
      </c>
      <c r="E727" t="s">
        <v>15</v>
      </c>
      <c r="F727" t="s">
        <v>40</v>
      </c>
      <c r="G727" t="s">
        <v>258</v>
      </c>
      <c r="H727">
        <v>1459.22</v>
      </c>
      <c r="I727">
        <v>252.11</v>
      </c>
      <c r="J727">
        <v>2</v>
      </c>
      <c r="K727" t="s">
        <v>26</v>
      </c>
      <c r="L727" t="s">
        <v>58</v>
      </c>
    </row>
    <row r="728" spans="1:12" x14ac:dyDescent="0.35">
      <c r="A728" t="s">
        <v>1134</v>
      </c>
      <c r="B728" s="4">
        <v>45579</v>
      </c>
      <c r="C728" t="s">
        <v>13</v>
      </c>
      <c r="D728" t="s">
        <v>14</v>
      </c>
      <c r="E728" t="s">
        <v>15</v>
      </c>
      <c r="F728" t="s">
        <v>16</v>
      </c>
      <c r="G728" t="s">
        <v>136</v>
      </c>
      <c r="H728">
        <v>1455.76</v>
      </c>
      <c r="I728">
        <v>400.67</v>
      </c>
      <c r="J728">
        <v>5</v>
      </c>
      <c r="K728" t="s">
        <v>26</v>
      </c>
      <c r="L728" t="s">
        <v>27</v>
      </c>
    </row>
    <row r="729" spans="1:12" x14ac:dyDescent="0.35">
      <c r="A729" t="s">
        <v>621</v>
      </c>
      <c r="B729" s="4">
        <v>45334</v>
      </c>
      <c r="C729" t="s">
        <v>21</v>
      </c>
      <c r="D729" t="s">
        <v>65</v>
      </c>
      <c r="E729" t="s">
        <v>51</v>
      </c>
      <c r="F729" t="s">
        <v>52</v>
      </c>
      <c r="G729" t="s">
        <v>316</v>
      </c>
      <c r="H729">
        <v>1450.03</v>
      </c>
      <c r="I729">
        <v>475.53</v>
      </c>
      <c r="J729">
        <v>1</v>
      </c>
      <c r="K729" t="s">
        <v>32</v>
      </c>
      <c r="L729" t="s">
        <v>33</v>
      </c>
    </row>
    <row r="730" spans="1:12" x14ac:dyDescent="0.35">
      <c r="A730" t="s">
        <v>717</v>
      </c>
      <c r="B730" s="4">
        <v>45320</v>
      </c>
      <c r="C730" t="s">
        <v>35</v>
      </c>
      <c r="D730" t="s">
        <v>36</v>
      </c>
      <c r="E730" t="s">
        <v>51</v>
      </c>
      <c r="F730" t="s">
        <v>74</v>
      </c>
      <c r="G730" t="s">
        <v>580</v>
      </c>
      <c r="H730">
        <v>1438.17</v>
      </c>
      <c r="I730">
        <v>446.48</v>
      </c>
      <c r="J730">
        <v>2</v>
      </c>
      <c r="K730" t="s">
        <v>18</v>
      </c>
      <c r="L730" t="s">
        <v>54</v>
      </c>
    </row>
    <row r="731" spans="1:12" x14ac:dyDescent="0.35">
      <c r="A731" t="s">
        <v>643</v>
      </c>
      <c r="B731" s="4">
        <v>45601</v>
      </c>
      <c r="C731" t="s">
        <v>13</v>
      </c>
      <c r="D731" t="s">
        <v>29</v>
      </c>
      <c r="E731" t="s">
        <v>15</v>
      </c>
      <c r="F731" t="s">
        <v>40</v>
      </c>
      <c r="G731" t="s">
        <v>249</v>
      </c>
      <c r="H731">
        <v>1430.55</v>
      </c>
      <c r="I731">
        <v>235.43</v>
      </c>
      <c r="J731">
        <v>8</v>
      </c>
      <c r="K731" t="s">
        <v>18</v>
      </c>
      <c r="L731" t="s">
        <v>61</v>
      </c>
    </row>
    <row r="732" spans="1:12" x14ac:dyDescent="0.35">
      <c r="A732" t="s">
        <v>152</v>
      </c>
      <c r="B732" s="4">
        <v>45339</v>
      </c>
      <c r="C732" t="s">
        <v>35</v>
      </c>
      <c r="D732" t="s">
        <v>50</v>
      </c>
      <c r="E732" t="s">
        <v>23</v>
      </c>
      <c r="F732" t="s">
        <v>24</v>
      </c>
      <c r="G732" t="s">
        <v>153</v>
      </c>
      <c r="H732">
        <v>1419.72</v>
      </c>
      <c r="I732">
        <v>235.72</v>
      </c>
      <c r="J732">
        <v>3</v>
      </c>
      <c r="K732" t="s">
        <v>18</v>
      </c>
      <c r="L732" t="s">
        <v>78</v>
      </c>
    </row>
    <row r="733" spans="1:12" x14ac:dyDescent="0.35">
      <c r="A733" t="s">
        <v>556</v>
      </c>
      <c r="B733" s="4">
        <v>45653</v>
      </c>
      <c r="C733" t="s">
        <v>46</v>
      </c>
      <c r="D733" t="s">
        <v>89</v>
      </c>
      <c r="E733" t="s">
        <v>15</v>
      </c>
      <c r="F733" t="s">
        <v>16</v>
      </c>
      <c r="G733" t="s">
        <v>449</v>
      </c>
      <c r="H733">
        <v>1416.01</v>
      </c>
      <c r="I733">
        <v>238.15</v>
      </c>
      <c r="J733">
        <v>3</v>
      </c>
      <c r="K733" t="s">
        <v>32</v>
      </c>
      <c r="L733" t="s">
        <v>54</v>
      </c>
    </row>
    <row r="734" spans="1:12" x14ac:dyDescent="0.35">
      <c r="A734" t="s">
        <v>787</v>
      </c>
      <c r="B734" s="4">
        <v>45507</v>
      </c>
      <c r="C734" t="s">
        <v>13</v>
      </c>
      <c r="D734" t="s">
        <v>29</v>
      </c>
      <c r="E734" t="s">
        <v>15</v>
      </c>
      <c r="F734" t="s">
        <v>16</v>
      </c>
      <c r="G734" t="s">
        <v>541</v>
      </c>
      <c r="H734">
        <v>1404.64</v>
      </c>
      <c r="I734">
        <v>116.41</v>
      </c>
      <c r="J734">
        <v>9</v>
      </c>
      <c r="K734" t="s">
        <v>18</v>
      </c>
      <c r="L734" t="s">
        <v>61</v>
      </c>
    </row>
    <row r="735" spans="1:12" x14ac:dyDescent="0.35">
      <c r="A735" t="s">
        <v>766</v>
      </c>
      <c r="B735" s="4">
        <v>45375</v>
      </c>
      <c r="C735" t="s">
        <v>13</v>
      </c>
      <c r="D735" t="s">
        <v>82</v>
      </c>
      <c r="E735" t="s">
        <v>51</v>
      </c>
      <c r="F735" t="s">
        <v>66</v>
      </c>
      <c r="G735" t="s">
        <v>362</v>
      </c>
      <c r="H735">
        <v>1397.5</v>
      </c>
      <c r="I735">
        <v>462.62</v>
      </c>
      <c r="J735">
        <v>10</v>
      </c>
      <c r="K735" t="s">
        <v>32</v>
      </c>
      <c r="L735" t="s">
        <v>58</v>
      </c>
    </row>
    <row r="736" spans="1:12" x14ac:dyDescent="0.35">
      <c r="A736" t="s">
        <v>1148</v>
      </c>
      <c r="B736" s="4">
        <v>45512</v>
      </c>
      <c r="C736" t="s">
        <v>13</v>
      </c>
      <c r="D736" t="s">
        <v>14</v>
      </c>
      <c r="E736" t="s">
        <v>23</v>
      </c>
      <c r="F736" t="s">
        <v>69</v>
      </c>
      <c r="G736" t="s">
        <v>218</v>
      </c>
      <c r="H736">
        <v>1397.44</v>
      </c>
      <c r="I736">
        <v>382.03</v>
      </c>
      <c r="J736">
        <v>8</v>
      </c>
      <c r="K736" t="s">
        <v>32</v>
      </c>
      <c r="L736" t="s">
        <v>33</v>
      </c>
    </row>
    <row r="737" spans="1:12" x14ac:dyDescent="0.35">
      <c r="A737" t="s">
        <v>557</v>
      </c>
      <c r="B737" s="4">
        <v>45301</v>
      </c>
      <c r="C737" t="s">
        <v>13</v>
      </c>
      <c r="D737" t="s">
        <v>82</v>
      </c>
      <c r="E737" t="s">
        <v>23</v>
      </c>
      <c r="F737" t="s">
        <v>69</v>
      </c>
      <c r="G737" t="s">
        <v>115</v>
      </c>
      <c r="H737">
        <v>1392.14</v>
      </c>
      <c r="I737">
        <v>75.66</v>
      </c>
      <c r="J737">
        <v>6</v>
      </c>
      <c r="K737" t="s">
        <v>26</v>
      </c>
      <c r="L737" t="s">
        <v>19</v>
      </c>
    </row>
    <row r="738" spans="1:12" x14ac:dyDescent="0.35">
      <c r="A738" t="s">
        <v>778</v>
      </c>
      <c r="B738" s="4">
        <v>45595</v>
      </c>
      <c r="C738" t="s">
        <v>35</v>
      </c>
      <c r="D738" t="s">
        <v>39</v>
      </c>
      <c r="E738" t="s">
        <v>23</v>
      </c>
      <c r="F738" t="s">
        <v>24</v>
      </c>
      <c r="G738" t="s">
        <v>265</v>
      </c>
      <c r="H738">
        <v>1386.84</v>
      </c>
      <c r="I738">
        <v>446.71</v>
      </c>
      <c r="J738">
        <v>5</v>
      </c>
      <c r="K738" t="s">
        <v>32</v>
      </c>
      <c r="L738" t="s">
        <v>42</v>
      </c>
    </row>
    <row r="739" spans="1:12" x14ac:dyDescent="0.35">
      <c r="A739" t="s">
        <v>982</v>
      </c>
      <c r="B739" s="4">
        <v>45441</v>
      </c>
      <c r="C739" t="s">
        <v>13</v>
      </c>
      <c r="D739" t="s">
        <v>82</v>
      </c>
      <c r="E739" t="s">
        <v>15</v>
      </c>
      <c r="F739" t="s">
        <v>40</v>
      </c>
      <c r="G739" t="s">
        <v>458</v>
      </c>
      <c r="H739">
        <v>1386.09</v>
      </c>
      <c r="I739">
        <v>248.2</v>
      </c>
      <c r="J739">
        <v>4</v>
      </c>
      <c r="K739" t="s">
        <v>26</v>
      </c>
      <c r="L739" t="s">
        <v>42</v>
      </c>
    </row>
    <row r="740" spans="1:12" x14ac:dyDescent="0.35">
      <c r="A740" t="s">
        <v>745</v>
      </c>
      <c r="B740" s="4">
        <v>45476</v>
      </c>
      <c r="C740" t="s">
        <v>13</v>
      </c>
      <c r="D740" t="s">
        <v>29</v>
      </c>
      <c r="E740" t="s">
        <v>51</v>
      </c>
      <c r="F740" t="s">
        <v>52</v>
      </c>
      <c r="G740" t="s">
        <v>535</v>
      </c>
      <c r="H740">
        <v>1379.61</v>
      </c>
      <c r="I740">
        <v>210.58</v>
      </c>
      <c r="J740">
        <v>9</v>
      </c>
      <c r="K740" t="s">
        <v>18</v>
      </c>
      <c r="L740" t="s">
        <v>33</v>
      </c>
    </row>
    <row r="741" spans="1:12" x14ac:dyDescent="0.35">
      <c r="A741" t="s">
        <v>76</v>
      </c>
      <c r="B741" s="4">
        <v>45317</v>
      </c>
      <c r="C741" t="s">
        <v>35</v>
      </c>
      <c r="D741" t="s">
        <v>50</v>
      </c>
      <c r="E741" t="s">
        <v>15</v>
      </c>
      <c r="F741" t="s">
        <v>40</v>
      </c>
      <c r="G741" t="s">
        <v>77</v>
      </c>
      <c r="H741">
        <v>1375.56</v>
      </c>
      <c r="I741">
        <v>142.54</v>
      </c>
      <c r="J741">
        <v>7</v>
      </c>
      <c r="K741" t="s">
        <v>26</v>
      </c>
      <c r="L741" t="s">
        <v>78</v>
      </c>
    </row>
    <row r="742" spans="1:12" x14ac:dyDescent="0.35">
      <c r="A742" t="s">
        <v>292</v>
      </c>
      <c r="B742" s="4">
        <v>45435</v>
      </c>
      <c r="C742" t="s">
        <v>21</v>
      </c>
      <c r="D742" t="s">
        <v>65</v>
      </c>
      <c r="E742" t="s">
        <v>23</v>
      </c>
      <c r="F742" t="s">
        <v>24</v>
      </c>
      <c r="G742" t="s">
        <v>169</v>
      </c>
      <c r="H742">
        <v>1373.86</v>
      </c>
      <c r="I742">
        <v>317.61</v>
      </c>
      <c r="J742">
        <v>7</v>
      </c>
      <c r="K742" t="s">
        <v>18</v>
      </c>
      <c r="L742" t="s">
        <v>27</v>
      </c>
    </row>
    <row r="743" spans="1:12" x14ac:dyDescent="0.35">
      <c r="A743" t="s">
        <v>326</v>
      </c>
      <c r="B743" s="4">
        <v>45462</v>
      </c>
      <c r="C743" t="s">
        <v>13</v>
      </c>
      <c r="D743" t="s">
        <v>82</v>
      </c>
      <c r="E743" t="s">
        <v>15</v>
      </c>
      <c r="F743" t="s">
        <v>16</v>
      </c>
      <c r="G743" t="s">
        <v>327</v>
      </c>
      <c r="H743">
        <v>1367.54</v>
      </c>
      <c r="I743">
        <v>352.53</v>
      </c>
      <c r="J743">
        <v>9</v>
      </c>
      <c r="K743" t="s">
        <v>32</v>
      </c>
      <c r="L743" t="s">
        <v>33</v>
      </c>
    </row>
    <row r="744" spans="1:12" x14ac:dyDescent="0.35">
      <c r="A744" t="s">
        <v>841</v>
      </c>
      <c r="B744" s="4">
        <v>45570</v>
      </c>
      <c r="C744" t="s">
        <v>13</v>
      </c>
      <c r="D744" t="s">
        <v>82</v>
      </c>
      <c r="E744" t="s">
        <v>23</v>
      </c>
      <c r="F744" t="s">
        <v>24</v>
      </c>
      <c r="G744" t="s">
        <v>299</v>
      </c>
      <c r="H744">
        <v>1356.22</v>
      </c>
      <c r="I744">
        <v>314.08</v>
      </c>
      <c r="J744">
        <v>8</v>
      </c>
      <c r="K744" t="s">
        <v>32</v>
      </c>
      <c r="L744" t="s">
        <v>42</v>
      </c>
    </row>
    <row r="745" spans="1:12" x14ac:dyDescent="0.35">
      <c r="A745" t="s">
        <v>630</v>
      </c>
      <c r="B745" s="4">
        <v>45507</v>
      </c>
      <c r="C745" t="s">
        <v>13</v>
      </c>
      <c r="D745" t="s">
        <v>82</v>
      </c>
      <c r="E745" t="s">
        <v>23</v>
      </c>
      <c r="F745" t="s">
        <v>69</v>
      </c>
      <c r="G745" t="s">
        <v>355</v>
      </c>
      <c r="H745">
        <v>1353.28</v>
      </c>
      <c r="I745">
        <v>74.790000000000006</v>
      </c>
      <c r="J745">
        <v>9</v>
      </c>
      <c r="K745" t="s">
        <v>18</v>
      </c>
      <c r="L745" t="s">
        <v>19</v>
      </c>
    </row>
    <row r="746" spans="1:12" x14ac:dyDescent="0.35">
      <c r="A746" t="s">
        <v>966</v>
      </c>
      <c r="B746" s="4">
        <v>45307</v>
      </c>
      <c r="C746" t="s">
        <v>21</v>
      </c>
      <c r="D746" t="s">
        <v>65</v>
      </c>
      <c r="E746" t="s">
        <v>51</v>
      </c>
      <c r="F746" t="s">
        <v>74</v>
      </c>
      <c r="G746" t="s">
        <v>171</v>
      </c>
      <c r="H746">
        <v>1347.64</v>
      </c>
      <c r="I746">
        <v>466.93</v>
      </c>
      <c r="J746">
        <v>6</v>
      </c>
      <c r="K746" t="s">
        <v>26</v>
      </c>
      <c r="L746" t="s">
        <v>27</v>
      </c>
    </row>
    <row r="747" spans="1:12" x14ac:dyDescent="0.35">
      <c r="A747" t="s">
        <v>1210</v>
      </c>
      <c r="B747" s="4">
        <v>45471</v>
      </c>
      <c r="C747" t="s">
        <v>46</v>
      </c>
      <c r="D747" t="s">
        <v>56</v>
      </c>
      <c r="E747" t="s">
        <v>23</v>
      </c>
      <c r="F747" t="s">
        <v>92</v>
      </c>
      <c r="G747" t="s">
        <v>441</v>
      </c>
      <c r="H747">
        <v>1343.28</v>
      </c>
      <c r="I747">
        <v>322.18</v>
      </c>
      <c r="J747">
        <v>5</v>
      </c>
      <c r="K747" t="s">
        <v>18</v>
      </c>
      <c r="L747" t="s">
        <v>33</v>
      </c>
    </row>
    <row r="748" spans="1:12" x14ac:dyDescent="0.35">
      <c r="A748" t="s">
        <v>59</v>
      </c>
      <c r="B748" s="4">
        <v>45454</v>
      </c>
      <c r="C748" t="s">
        <v>13</v>
      </c>
      <c r="D748" t="s">
        <v>29</v>
      </c>
      <c r="E748" t="s">
        <v>51</v>
      </c>
      <c r="F748" t="s">
        <v>52</v>
      </c>
      <c r="G748" t="s">
        <v>60</v>
      </c>
      <c r="H748">
        <v>1340.83</v>
      </c>
      <c r="I748">
        <v>238.03</v>
      </c>
      <c r="J748">
        <v>6</v>
      </c>
      <c r="K748" t="s">
        <v>32</v>
      </c>
      <c r="L748" t="s">
        <v>61</v>
      </c>
    </row>
    <row r="749" spans="1:12" x14ac:dyDescent="0.35">
      <c r="A749" t="s">
        <v>860</v>
      </c>
      <c r="B749" s="4">
        <v>45375</v>
      </c>
      <c r="C749" t="s">
        <v>35</v>
      </c>
      <c r="D749" t="s">
        <v>36</v>
      </c>
      <c r="E749" t="s">
        <v>15</v>
      </c>
      <c r="F749" t="s">
        <v>30</v>
      </c>
      <c r="G749" t="s">
        <v>489</v>
      </c>
      <c r="H749">
        <v>1333.98</v>
      </c>
      <c r="I749">
        <v>449.88</v>
      </c>
      <c r="J749">
        <v>9</v>
      </c>
      <c r="K749" t="s">
        <v>32</v>
      </c>
      <c r="L749" t="s">
        <v>33</v>
      </c>
    </row>
    <row r="750" spans="1:12" x14ac:dyDescent="0.35">
      <c r="A750" t="s">
        <v>803</v>
      </c>
      <c r="B750" s="4">
        <v>45345</v>
      </c>
      <c r="C750" t="s">
        <v>13</v>
      </c>
      <c r="D750" t="s">
        <v>82</v>
      </c>
      <c r="E750" t="s">
        <v>23</v>
      </c>
      <c r="F750" t="s">
        <v>92</v>
      </c>
      <c r="G750" t="s">
        <v>412</v>
      </c>
      <c r="H750">
        <v>1332.85</v>
      </c>
      <c r="I750">
        <v>74.03</v>
      </c>
      <c r="J750">
        <v>8</v>
      </c>
      <c r="K750" t="s">
        <v>32</v>
      </c>
      <c r="L750" t="s">
        <v>54</v>
      </c>
    </row>
    <row r="751" spans="1:12" x14ac:dyDescent="0.35">
      <c r="A751" t="s">
        <v>579</v>
      </c>
      <c r="B751" s="4">
        <v>45651</v>
      </c>
      <c r="C751" t="s">
        <v>35</v>
      </c>
      <c r="D751" t="s">
        <v>50</v>
      </c>
      <c r="E751" t="s">
        <v>51</v>
      </c>
      <c r="F751" t="s">
        <v>74</v>
      </c>
      <c r="G751" t="s">
        <v>580</v>
      </c>
      <c r="H751">
        <v>1330.53</v>
      </c>
      <c r="I751">
        <v>333.69</v>
      </c>
      <c r="J751">
        <v>1</v>
      </c>
      <c r="K751" t="s">
        <v>32</v>
      </c>
      <c r="L751" t="s">
        <v>42</v>
      </c>
    </row>
    <row r="752" spans="1:12" x14ac:dyDescent="0.35">
      <c r="A752" t="s">
        <v>464</v>
      </c>
      <c r="B752" s="4">
        <v>45426</v>
      </c>
      <c r="C752" t="s">
        <v>13</v>
      </c>
      <c r="D752" t="s">
        <v>82</v>
      </c>
      <c r="E752" t="s">
        <v>23</v>
      </c>
      <c r="F752" t="s">
        <v>69</v>
      </c>
      <c r="G752" t="s">
        <v>465</v>
      </c>
      <c r="H752">
        <v>1326.97</v>
      </c>
      <c r="I752">
        <v>445.21</v>
      </c>
      <c r="J752">
        <v>6</v>
      </c>
      <c r="K752" t="s">
        <v>26</v>
      </c>
      <c r="L752" t="s">
        <v>19</v>
      </c>
    </row>
    <row r="753" spans="1:12" x14ac:dyDescent="0.35">
      <c r="A753" t="s">
        <v>1181</v>
      </c>
      <c r="B753" s="4">
        <v>45427</v>
      </c>
      <c r="C753" t="s">
        <v>21</v>
      </c>
      <c r="D753" t="s">
        <v>22</v>
      </c>
      <c r="E753" t="s">
        <v>15</v>
      </c>
      <c r="F753" t="s">
        <v>40</v>
      </c>
      <c r="G753" t="s">
        <v>176</v>
      </c>
      <c r="H753">
        <v>1324.33</v>
      </c>
      <c r="I753">
        <v>297.29000000000002</v>
      </c>
      <c r="J753">
        <v>3</v>
      </c>
      <c r="K753" t="s">
        <v>32</v>
      </c>
      <c r="L753" t="s">
        <v>61</v>
      </c>
    </row>
    <row r="754" spans="1:12" x14ac:dyDescent="0.35">
      <c r="A754" t="s">
        <v>773</v>
      </c>
      <c r="B754" s="4">
        <v>45543</v>
      </c>
      <c r="C754" t="s">
        <v>13</v>
      </c>
      <c r="D754" t="s">
        <v>82</v>
      </c>
      <c r="E754" t="s">
        <v>51</v>
      </c>
      <c r="F754" t="s">
        <v>66</v>
      </c>
      <c r="G754" t="s">
        <v>85</v>
      </c>
      <c r="H754">
        <v>1320.24</v>
      </c>
      <c r="I754">
        <v>73.02</v>
      </c>
      <c r="J754">
        <v>9</v>
      </c>
      <c r="K754" t="s">
        <v>32</v>
      </c>
      <c r="L754" t="s">
        <v>54</v>
      </c>
    </row>
    <row r="755" spans="1:12" x14ac:dyDescent="0.35">
      <c r="A755" t="s">
        <v>345</v>
      </c>
      <c r="B755" s="4">
        <v>45579</v>
      </c>
      <c r="C755" t="s">
        <v>35</v>
      </c>
      <c r="D755" t="s">
        <v>39</v>
      </c>
      <c r="E755" t="s">
        <v>23</v>
      </c>
      <c r="F755" t="s">
        <v>24</v>
      </c>
      <c r="G755" t="s">
        <v>299</v>
      </c>
      <c r="H755">
        <v>1306.7</v>
      </c>
      <c r="I755">
        <v>318.02999999999997</v>
      </c>
      <c r="J755">
        <v>6</v>
      </c>
      <c r="K755" t="s">
        <v>32</v>
      </c>
      <c r="L755" t="s">
        <v>58</v>
      </c>
    </row>
    <row r="756" spans="1:12" x14ac:dyDescent="0.35">
      <c r="A756" t="s">
        <v>112</v>
      </c>
      <c r="B756" s="4">
        <v>45405</v>
      </c>
      <c r="C756" t="s">
        <v>13</v>
      </c>
      <c r="D756" t="s">
        <v>29</v>
      </c>
      <c r="E756" t="s">
        <v>51</v>
      </c>
      <c r="F756" t="s">
        <v>52</v>
      </c>
      <c r="G756" t="s">
        <v>80</v>
      </c>
      <c r="H756">
        <v>1305.31</v>
      </c>
      <c r="I756">
        <v>354.45</v>
      </c>
      <c r="J756">
        <v>9</v>
      </c>
      <c r="K756" t="s">
        <v>18</v>
      </c>
      <c r="L756" t="s">
        <v>61</v>
      </c>
    </row>
    <row r="757" spans="1:12" x14ac:dyDescent="0.35">
      <c r="A757" t="s">
        <v>1223</v>
      </c>
      <c r="B757" s="4">
        <v>45372</v>
      </c>
      <c r="C757" t="s">
        <v>35</v>
      </c>
      <c r="D757" t="s">
        <v>50</v>
      </c>
      <c r="E757" t="s">
        <v>15</v>
      </c>
      <c r="F757" t="s">
        <v>40</v>
      </c>
      <c r="G757" t="s">
        <v>472</v>
      </c>
      <c r="H757">
        <v>1298.9000000000001</v>
      </c>
      <c r="I757">
        <v>306.47000000000003</v>
      </c>
      <c r="J757">
        <v>5</v>
      </c>
      <c r="K757" t="s">
        <v>18</v>
      </c>
      <c r="L757" t="s">
        <v>42</v>
      </c>
    </row>
    <row r="758" spans="1:12" x14ac:dyDescent="0.35">
      <c r="A758" t="s">
        <v>283</v>
      </c>
      <c r="B758" s="4">
        <v>45645</v>
      </c>
      <c r="C758" t="s">
        <v>46</v>
      </c>
      <c r="D758" t="s">
        <v>56</v>
      </c>
      <c r="E758" t="s">
        <v>15</v>
      </c>
      <c r="F758" t="s">
        <v>16</v>
      </c>
      <c r="G758" t="s">
        <v>284</v>
      </c>
      <c r="H758">
        <v>1294.95</v>
      </c>
      <c r="I758">
        <v>206.53</v>
      </c>
      <c r="J758">
        <v>1</v>
      </c>
      <c r="K758" t="s">
        <v>32</v>
      </c>
      <c r="L758" t="s">
        <v>42</v>
      </c>
    </row>
    <row r="759" spans="1:12" x14ac:dyDescent="0.35">
      <c r="A759" t="s">
        <v>602</v>
      </c>
      <c r="B759" s="4">
        <v>45524</v>
      </c>
      <c r="C759" t="s">
        <v>21</v>
      </c>
      <c r="D759" t="s">
        <v>22</v>
      </c>
      <c r="E759" t="s">
        <v>51</v>
      </c>
      <c r="F759" t="s">
        <v>74</v>
      </c>
      <c r="G759" t="s">
        <v>267</v>
      </c>
      <c r="H759">
        <v>1286.4000000000001</v>
      </c>
      <c r="I759">
        <v>274.25</v>
      </c>
      <c r="J759">
        <v>8</v>
      </c>
      <c r="K759" t="s">
        <v>32</v>
      </c>
      <c r="L759" t="s">
        <v>33</v>
      </c>
    </row>
    <row r="760" spans="1:12" x14ac:dyDescent="0.35">
      <c r="A760" t="s">
        <v>866</v>
      </c>
      <c r="B760" s="4">
        <v>45314</v>
      </c>
      <c r="C760" t="s">
        <v>35</v>
      </c>
      <c r="D760" t="s">
        <v>36</v>
      </c>
      <c r="E760" t="s">
        <v>23</v>
      </c>
      <c r="F760" t="s">
        <v>24</v>
      </c>
      <c r="G760" t="s">
        <v>329</v>
      </c>
      <c r="H760">
        <v>1279.18</v>
      </c>
      <c r="I760">
        <v>249.48</v>
      </c>
      <c r="J760">
        <v>3</v>
      </c>
      <c r="K760" t="s">
        <v>26</v>
      </c>
      <c r="L760" t="s">
        <v>19</v>
      </c>
    </row>
    <row r="761" spans="1:12" x14ac:dyDescent="0.35">
      <c r="A761" t="s">
        <v>1141</v>
      </c>
      <c r="B761" s="4">
        <v>45445</v>
      </c>
      <c r="C761" t="s">
        <v>46</v>
      </c>
      <c r="D761" t="s">
        <v>89</v>
      </c>
      <c r="E761" t="s">
        <v>15</v>
      </c>
      <c r="F761" t="s">
        <v>30</v>
      </c>
      <c r="G761" t="s">
        <v>529</v>
      </c>
      <c r="H761">
        <v>1264.31</v>
      </c>
      <c r="I761">
        <v>215.41</v>
      </c>
      <c r="J761">
        <v>9</v>
      </c>
      <c r="K761" t="s">
        <v>32</v>
      </c>
      <c r="L761" t="s">
        <v>42</v>
      </c>
    </row>
    <row r="762" spans="1:12" x14ac:dyDescent="0.35">
      <c r="A762" t="s">
        <v>954</v>
      </c>
      <c r="B762" s="4">
        <v>45315</v>
      </c>
      <c r="C762" t="s">
        <v>35</v>
      </c>
      <c r="D762" t="s">
        <v>50</v>
      </c>
      <c r="E762" t="s">
        <v>51</v>
      </c>
      <c r="F762" t="s">
        <v>66</v>
      </c>
      <c r="G762" t="s">
        <v>138</v>
      </c>
      <c r="H762">
        <v>1252.51</v>
      </c>
      <c r="I762">
        <v>132.97999999999999</v>
      </c>
      <c r="J762">
        <v>8</v>
      </c>
      <c r="K762" t="s">
        <v>18</v>
      </c>
      <c r="L762" t="s">
        <v>58</v>
      </c>
    </row>
    <row r="763" spans="1:12" x14ac:dyDescent="0.35">
      <c r="A763" t="s">
        <v>228</v>
      </c>
      <c r="B763" s="4">
        <v>45423</v>
      </c>
      <c r="C763" t="s">
        <v>13</v>
      </c>
      <c r="D763" t="s">
        <v>14</v>
      </c>
      <c r="E763" t="s">
        <v>15</v>
      </c>
      <c r="F763" t="s">
        <v>16</v>
      </c>
      <c r="G763" t="s">
        <v>156</v>
      </c>
      <c r="H763">
        <v>1252.18</v>
      </c>
      <c r="I763">
        <v>261.51</v>
      </c>
      <c r="J763">
        <v>2</v>
      </c>
      <c r="K763" t="s">
        <v>18</v>
      </c>
      <c r="L763" t="s">
        <v>27</v>
      </c>
    </row>
    <row r="764" spans="1:12" x14ac:dyDescent="0.35">
      <c r="A764" t="s">
        <v>461</v>
      </c>
      <c r="B764" s="4">
        <v>45352</v>
      </c>
      <c r="C764" t="s">
        <v>35</v>
      </c>
      <c r="D764" t="s">
        <v>50</v>
      </c>
      <c r="E764" t="s">
        <v>15</v>
      </c>
      <c r="F764" t="s">
        <v>40</v>
      </c>
      <c r="G764" t="s">
        <v>458</v>
      </c>
      <c r="H764">
        <v>1242.48</v>
      </c>
      <c r="I764">
        <v>420.45</v>
      </c>
      <c r="J764">
        <v>1</v>
      </c>
      <c r="K764" t="s">
        <v>32</v>
      </c>
      <c r="L764" t="s">
        <v>61</v>
      </c>
    </row>
    <row r="765" spans="1:12" x14ac:dyDescent="0.35">
      <c r="A765" t="s">
        <v>1150</v>
      </c>
      <c r="B765" s="4">
        <v>45605</v>
      </c>
      <c r="C765" t="s">
        <v>46</v>
      </c>
      <c r="D765" t="s">
        <v>47</v>
      </c>
      <c r="E765" t="s">
        <v>15</v>
      </c>
      <c r="F765" t="s">
        <v>40</v>
      </c>
      <c r="G765" t="s">
        <v>246</v>
      </c>
      <c r="H765">
        <v>1236.81</v>
      </c>
      <c r="I765">
        <v>269.24</v>
      </c>
      <c r="J765">
        <v>4</v>
      </c>
      <c r="K765" t="s">
        <v>32</v>
      </c>
      <c r="L765" t="s">
        <v>58</v>
      </c>
    </row>
    <row r="766" spans="1:12" x14ac:dyDescent="0.35">
      <c r="A766" t="s">
        <v>155</v>
      </c>
      <c r="B766" s="4">
        <v>45434</v>
      </c>
      <c r="C766" t="s">
        <v>46</v>
      </c>
      <c r="D766" t="s">
        <v>89</v>
      </c>
      <c r="E766" t="s">
        <v>15</v>
      </c>
      <c r="F766" t="s">
        <v>16</v>
      </c>
      <c r="G766" t="s">
        <v>156</v>
      </c>
      <c r="H766">
        <v>1234.25</v>
      </c>
      <c r="I766">
        <v>130.59</v>
      </c>
      <c r="J766">
        <v>5</v>
      </c>
      <c r="K766" t="s">
        <v>26</v>
      </c>
      <c r="L766" t="s">
        <v>19</v>
      </c>
    </row>
    <row r="767" spans="1:12" x14ac:dyDescent="0.35">
      <c r="A767" t="s">
        <v>510</v>
      </c>
      <c r="B767" s="4">
        <v>45324</v>
      </c>
      <c r="C767" t="s">
        <v>21</v>
      </c>
      <c r="D767" t="s">
        <v>22</v>
      </c>
      <c r="E767" t="s">
        <v>15</v>
      </c>
      <c r="F767" t="s">
        <v>16</v>
      </c>
      <c r="G767" t="s">
        <v>199</v>
      </c>
      <c r="H767">
        <v>1231.53</v>
      </c>
      <c r="I767">
        <v>213.55</v>
      </c>
      <c r="J767">
        <v>6</v>
      </c>
      <c r="K767" t="s">
        <v>26</v>
      </c>
      <c r="L767" t="s">
        <v>54</v>
      </c>
    </row>
    <row r="768" spans="1:12" x14ac:dyDescent="0.35">
      <c r="A768" t="s">
        <v>504</v>
      </c>
      <c r="B768" s="4">
        <v>45570</v>
      </c>
      <c r="C768" t="s">
        <v>46</v>
      </c>
      <c r="D768" t="s">
        <v>89</v>
      </c>
      <c r="E768" t="s">
        <v>23</v>
      </c>
      <c r="F768" t="s">
        <v>24</v>
      </c>
      <c r="G768" t="s">
        <v>103</v>
      </c>
      <c r="H768">
        <v>1217.19</v>
      </c>
      <c r="I768">
        <v>106.57</v>
      </c>
      <c r="J768">
        <v>1</v>
      </c>
      <c r="K768" t="s">
        <v>32</v>
      </c>
      <c r="L768" t="s">
        <v>58</v>
      </c>
    </row>
    <row r="769" spans="1:12" x14ac:dyDescent="0.35">
      <c r="A769" t="s">
        <v>1142</v>
      </c>
      <c r="B769" s="4">
        <v>45435</v>
      </c>
      <c r="C769" t="s">
        <v>35</v>
      </c>
      <c r="D769" t="s">
        <v>36</v>
      </c>
      <c r="E769" t="s">
        <v>23</v>
      </c>
      <c r="F769" t="s">
        <v>69</v>
      </c>
      <c r="G769" t="s">
        <v>355</v>
      </c>
      <c r="H769">
        <v>1210.57</v>
      </c>
      <c r="I769">
        <v>407.2</v>
      </c>
      <c r="J769">
        <v>8</v>
      </c>
      <c r="K769" t="s">
        <v>26</v>
      </c>
      <c r="L769" t="s">
        <v>61</v>
      </c>
    </row>
    <row r="770" spans="1:12" x14ac:dyDescent="0.35">
      <c r="A770" t="s">
        <v>780</v>
      </c>
      <c r="B770" s="4">
        <v>45462</v>
      </c>
      <c r="C770" t="s">
        <v>35</v>
      </c>
      <c r="D770" t="s">
        <v>39</v>
      </c>
      <c r="E770" t="s">
        <v>51</v>
      </c>
      <c r="F770" t="s">
        <v>66</v>
      </c>
      <c r="G770" t="s">
        <v>224</v>
      </c>
      <c r="H770">
        <v>1203.05</v>
      </c>
      <c r="I770">
        <v>248.05</v>
      </c>
      <c r="J770">
        <v>1</v>
      </c>
      <c r="K770" t="s">
        <v>18</v>
      </c>
      <c r="L770" t="s">
        <v>78</v>
      </c>
    </row>
    <row r="771" spans="1:12" x14ac:dyDescent="0.35">
      <c r="A771" t="s">
        <v>951</v>
      </c>
      <c r="B771" s="4">
        <v>45429</v>
      </c>
      <c r="C771" t="s">
        <v>21</v>
      </c>
      <c r="D771" t="s">
        <v>134</v>
      </c>
      <c r="E771" t="s">
        <v>23</v>
      </c>
      <c r="F771" t="s">
        <v>24</v>
      </c>
      <c r="G771" t="s">
        <v>212</v>
      </c>
      <c r="H771">
        <v>1197.5</v>
      </c>
      <c r="I771">
        <v>232.6</v>
      </c>
      <c r="J771">
        <v>3</v>
      </c>
      <c r="K771" t="s">
        <v>32</v>
      </c>
      <c r="L771" t="s">
        <v>27</v>
      </c>
    </row>
    <row r="772" spans="1:12" x14ac:dyDescent="0.35">
      <c r="A772" t="s">
        <v>444</v>
      </c>
      <c r="B772" s="4">
        <v>45319</v>
      </c>
      <c r="C772" t="s">
        <v>46</v>
      </c>
      <c r="D772" t="s">
        <v>89</v>
      </c>
      <c r="E772" t="s">
        <v>15</v>
      </c>
      <c r="F772" t="s">
        <v>16</v>
      </c>
      <c r="G772" t="s">
        <v>215</v>
      </c>
      <c r="H772">
        <v>1189.47</v>
      </c>
      <c r="I772">
        <v>240.41</v>
      </c>
      <c r="J772">
        <v>3</v>
      </c>
      <c r="K772" t="s">
        <v>26</v>
      </c>
      <c r="L772" t="s">
        <v>61</v>
      </c>
    </row>
    <row r="773" spans="1:12" x14ac:dyDescent="0.35">
      <c r="A773" t="s">
        <v>456</v>
      </c>
      <c r="B773" s="4">
        <v>45386</v>
      </c>
      <c r="C773" t="s">
        <v>35</v>
      </c>
      <c r="D773" t="s">
        <v>36</v>
      </c>
      <c r="E773" t="s">
        <v>51</v>
      </c>
      <c r="F773" t="s">
        <v>74</v>
      </c>
      <c r="G773" t="s">
        <v>294</v>
      </c>
      <c r="H773">
        <v>1189.21</v>
      </c>
      <c r="I773">
        <v>310.52</v>
      </c>
      <c r="J773">
        <v>4</v>
      </c>
      <c r="K773" t="s">
        <v>18</v>
      </c>
      <c r="L773" t="s">
        <v>42</v>
      </c>
    </row>
    <row r="774" spans="1:12" x14ac:dyDescent="0.35">
      <c r="A774" t="s">
        <v>722</v>
      </c>
      <c r="B774" s="4">
        <v>45606</v>
      </c>
      <c r="C774" t="s">
        <v>21</v>
      </c>
      <c r="D774" t="s">
        <v>65</v>
      </c>
      <c r="E774" t="s">
        <v>51</v>
      </c>
      <c r="F774" t="s">
        <v>74</v>
      </c>
      <c r="G774" t="s">
        <v>723</v>
      </c>
      <c r="H774">
        <v>1180.58</v>
      </c>
      <c r="I774">
        <v>249.44</v>
      </c>
      <c r="J774">
        <v>3</v>
      </c>
      <c r="K774" t="s">
        <v>18</v>
      </c>
      <c r="L774" t="s">
        <v>54</v>
      </c>
    </row>
    <row r="775" spans="1:12" x14ac:dyDescent="0.35">
      <c r="A775" t="s">
        <v>1069</v>
      </c>
      <c r="B775" s="4">
        <v>45521</v>
      </c>
      <c r="C775" t="s">
        <v>13</v>
      </c>
      <c r="D775" t="s">
        <v>82</v>
      </c>
      <c r="E775" t="s">
        <v>51</v>
      </c>
      <c r="F775" t="s">
        <v>52</v>
      </c>
      <c r="G775" t="s">
        <v>60</v>
      </c>
      <c r="H775">
        <v>1178.05</v>
      </c>
      <c r="I775">
        <v>326.94</v>
      </c>
      <c r="J775">
        <v>8</v>
      </c>
      <c r="K775" t="s">
        <v>18</v>
      </c>
      <c r="L775" t="s">
        <v>61</v>
      </c>
    </row>
    <row r="776" spans="1:12" x14ac:dyDescent="0.35">
      <c r="A776" t="s">
        <v>995</v>
      </c>
      <c r="B776" s="4">
        <v>45565</v>
      </c>
      <c r="C776" t="s">
        <v>35</v>
      </c>
      <c r="D776" t="s">
        <v>36</v>
      </c>
      <c r="E776" t="s">
        <v>23</v>
      </c>
      <c r="F776" t="s">
        <v>92</v>
      </c>
      <c r="G776" t="s">
        <v>831</v>
      </c>
      <c r="H776">
        <v>1177.08</v>
      </c>
      <c r="I776">
        <v>182.86</v>
      </c>
      <c r="J776">
        <v>4</v>
      </c>
      <c r="K776" t="s">
        <v>32</v>
      </c>
      <c r="L776" t="s">
        <v>58</v>
      </c>
    </row>
    <row r="777" spans="1:12" x14ac:dyDescent="0.35">
      <c r="A777" t="s">
        <v>1213</v>
      </c>
      <c r="B777" s="4">
        <v>45508</v>
      </c>
      <c r="C777" t="s">
        <v>35</v>
      </c>
      <c r="D777" t="s">
        <v>39</v>
      </c>
      <c r="E777" t="s">
        <v>23</v>
      </c>
      <c r="F777" t="s">
        <v>69</v>
      </c>
      <c r="G777" t="s">
        <v>805</v>
      </c>
      <c r="H777">
        <v>1175.57</v>
      </c>
      <c r="I777">
        <v>219.94</v>
      </c>
      <c r="J777">
        <v>5</v>
      </c>
      <c r="K777" t="s">
        <v>26</v>
      </c>
      <c r="L777" t="s">
        <v>61</v>
      </c>
    </row>
    <row r="778" spans="1:12" x14ac:dyDescent="0.35">
      <c r="A778" t="s">
        <v>733</v>
      </c>
      <c r="B778" s="4">
        <v>45525</v>
      </c>
      <c r="C778" t="s">
        <v>35</v>
      </c>
      <c r="D778" t="s">
        <v>36</v>
      </c>
      <c r="E778" t="s">
        <v>15</v>
      </c>
      <c r="F778" t="s">
        <v>30</v>
      </c>
      <c r="G778" t="s">
        <v>335</v>
      </c>
      <c r="H778">
        <v>1164.1600000000001</v>
      </c>
      <c r="I778">
        <v>82.58</v>
      </c>
      <c r="J778">
        <v>1</v>
      </c>
      <c r="K778" t="s">
        <v>32</v>
      </c>
      <c r="L778" t="s">
        <v>58</v>
      </c>
    </row>
    <row r="779" spans="1:12" x14ac:dyDescent="0.35">
      <c r="A779" t="s">
        <v>189</v>
      </c>
      <c r="B779" s="4">
        <v>45486</v>
      </c>
      <c r="C779" t="s">
        <v>13</v>
      </c>
      <c r="D779" t="s">
        <v>82</v>
      </c>
      <c r="E779" t="s">
        <v>23</v>
      </c>
      <c r="F779" t="s">
        <v>24</v>
      </c>
      <c r="G779" t="s">
        <v>190</v>
      </c>
      <c r="H779">
        <v>1159.23</v>
      </c>
      <c r="I779">
        <v>271.26</v>
      </c>
      <c r="J779">
        <v>9</v>
      </c>
      <c r="K779" t="s">
        <v>18</v>
      </c>
      <c r="L779" t="s">
        <v>61</v>
      </c>
    </row>
    <row r="780" spans="1:12" x14ac:dyDescent="0.35">
      <c r="A780" t="s">
        <v>122</v>
      </c>
      <c r="B780" s="4">
        <v>45579</v>
      </c>
      <c r="C780" t="s">
        <v>13</v>
      </c>
      <c r="D780" t="s">
        <v>14</v>
      </c>
      <c r="E780" t="s">
        <v>23</v>
      </c>
      <c r="F780" t="s">
        <v>24</v>
      </c>
      <c r="G780" t="s">
        <v>123</v>
      </c>
      <c r="H780">
        <v>1149.22</v>
      </c>
      <c r="I780">
        <v>357.19</v>
      </c>
      <c r="J780">
        <v>10</v>
      </c>
      <c r="K780" t="s">
        <v>32</v>
      </c>
      <c r="L780" t="s">
        <v>78</v>
      </c>
    </row>
    <row r="781" spans="1:12" x14ac:dyDescent="0.35">
      <c r="A781" t="s">
        <v>847</v>
      </c>
      <c r="B781" s="4">
        <v>45621</v>
      </c>
      <c r="C781" t="s">
        <v>21</v>
      </c>
      <c r="D781" t="s">
        <v>134</v>
      </c>
      <c r="E781" t="s">
        <v>15</v>
      </c>
      <c r="F781" t="s">
        <v>40</v>
      </c>
      <c r="G781" t="s">
        <v>197</v>
      </c>
      <c r="H781">
        <v>1140.5</v>
      </c>
      <c r="I781">
        <v>276.33</v>
      </c>
      <c r="J781">
        <v>7</v>
      </c>
      <c r="K781" t="s">
        <v>32</v>
      </c>
      <c r="L781" t="s">
        <v>27</v>
      </c>
    </row>
    <row r="782" spans="1:12" x14ac:dyDescent="0.35">
      <c r="A782" t="s">
        <v>913</v>
      </c>
      <c r="B782" s="4">
        <v>45379</v>
      </c>
      <c r="C782" t="s">
        <v>35</v>
      </c>
      <c r="D782" t="s">
        <v>50</v>
      </c>
      <c r="E782" t="s">
        <v>51</v>
      </c>
      <c r="F782" t="s">
        <v>74</v>
      </c>
      <c r="G782" t="s">
        <v>294</v>
      </c>
      <c r="H782">
        <v>1139.6099999999999</v>
      </c>
      <c r="I782">
        <v>66.02</v>
      </c>
      <c r="J782">
        <v>7</v>
      </c>
      <c r="K782" t="s">
        <v>18</v>
      </c>
      <c r="L782" t="s">
        <v>54</v>
      </c>
    </row>
    <row r="783" spans="1:12" x14ac:dyDescent="0.35">
      <c r="A783" t="s">
        <v>455</v>
      </c>
      <c r="B783" s="4">
        <v>45477</v>
      </c>
      <c r="C783" t="s">
        <v>35</v>
      </c>
      <c r="D783" t="s">
        <v>36</v>
      </c>
      <c r="E783" t="s">
        <v>51</v>
      </c>
      <c r="F783" t="s">
        <v>52</v>
      </c>
      <c r="G783" t="s">
        <v>385</v>
      </c>
      <c r="H783">
        <v>1133.93</v>
      </c>
      <c r="I783">
        <v>106.12</v>
      </c>
      <c r="J783">
        <v>9</v>
      </c>
      <c r="K783" t="s">
        <v>32</v>
      </c>
      <c r="L783" t="s">
        <v>54</v>
      </c>
    </row>
    <row r="784" spans="1:12" x14ac:dyDescent="0.35">
      <c r="A784" t="s">
        <v>280</v>
      </c>
      <c r="B784" s="4">
        <v>45490</v>
      </c>
      <c r="C784" t="s">
        <v>35</v>
      </c>
      <c r="D784" t="s">
        <v>39</v>
      </c>
      <c r="E784" t="s">
        <v>23</v>
      </c>
      <c r="F784" t="s">
        <v>24</v>
      </c>
      <c r="G784" t="s">
        <v>281</v>
      </c>
      <c r="H784">
        <v>1132.81</v>
      </c>
      <c r="I784">
        <v>275.08999999999997</v>
      </c>
      <c r="J784">
        <v>4</v>
      </c>
      <c r="K784" t="s">
        <v>18</v>
      </c>
      <c r="L784" t="s">
        <v>27</v>
      </c>
    </row>
    <row r="785" spans="1:12" x14ac:dyDescent="0.35">
      <c r="A785" t="s">
        <v>1140</v>
      </c>
      <c r="B785" s="4">
        <v>45397</v>
      </c>
      <c r="C785" t="s">
        <v>35</v>
      </c>
      <c r="D785" t="s">
        <v>36</v>
      </c>
      <c r="E785" t="s">
        <v>51</v>
      </c>
      <c r="F785" t="s">
        <v>52</v>
      </c>
      <c r="G785" t="s">
        <v>279</v>
      </c>
      <c r="H785">
        <v>1125.05</v>
      </c>
      <c r="I785">
        <v>352</v>
      </c>
      <c r="J785">
        <v>10</v>
      </c>
      <c r="K785" t="s">
        <v>32</v>
      </c>
      <c r="L785" t="s">
        <v>42</v>
      </c>
    </row>
    <row r="786" spans="1:12" x14ac:dyDescent="0.35">
      <c r="A786" t="s">
        <v>849</v>
      </c>
      <c r="B786" s="4">
        <v>45448</v>
      </c>
      <c r="C786" t="s">
        <v>46</v>
      </c>
      <c r="D786" t="s">
        <v>89</v>
      </c>
      <c r="E786" t="s">
        <v>51</v>
      </c>
      <c r="F786" t="s">
        <v>74</v>
      </c>
      <c r="G786" t="s">
        <v>373</v>
      </c>
      <c r="H786">
        <v>1116.77</v>
      </c>
      <c r="I786">
        <v>322.26</v>
      </c>
      <c r="J786">
        <v>4</v>
      </c>
      <c r="K786" t="s">
        <v>32</v>
      </c>
      <c r="L786" t="s">
        <v>33</v>
      </c>
    </row>
    <row r="787" spans="1:12" x14ac:dyDescent="0.35">
      <c r="A787" t="s">
        <v>219</v>
      </c>
      <c r="B787" s="4">
        <v>45646</v>
      </c>
      <c r="C787" t="s">
        <v>35</v>
      </c>
      <c r="D787" t="s">
        <v>50</v>
      </c>
      <c r="E787" t="s">
        <v>51</v>
      </c>
      <c r="F787" t="s">
        <v>52</v>
      </c>
      <c r="G787" t="s">
        <v>201</v>
      </c>
      <c r="H787">
        <v>1107.55</v>
      </c>
      <c r="I787">
        <v>184.56</v>
      </c>
      <c r="J787">
        <v>2</v>
      </c>
      <c r="K787" t="s">
        <v>26</v>
      </c>
      <c r="L787" t="s">
        <v>33</v>
      </c>
    </row>
    <row r="788" spans="1:12" x14ac:dyDescent="0.35">
      <c r="A788" t="s">
        <v>871</v>
      </c>
      <c r="B788" s="4">
        <v>45652</v>
      </c>
      <c r="C788" t="s">
        <v>21</v>
      </c>
      <c r="D788" t="s">
        <v>134</v>
      </c>
      <c r="E788" t="s">
        <v>23</v>
      </c>
      <c r="F788" t="s">
        <v>92</v>
      </c>
      <c r="G788" t="s">
        <v>872</v>
      </c>
      <c r="H788">
        <v>1105.54</v>
      </c>
      <c r="I788">
        <v>313.3</v>
      </c>
      <c r="J788">
        <v>8</v>
      </c>
      <c r="K788" t="s">
        <v>26</v>
      </c>
      <c r="L788" t="s">
        <v>61</v>
      </c>
    </row>
    <row r="789" spans="1:12" x14ac:dyDescent="0.35">
      <c r="A789" t="s">
        <v>751</v>
      </c>
      <c r="B789" s="4">
        <v>45383</v>
      </c>
      <c r="C789" t="s">
        <v>21</v>
      </c>
      <c r="D789" t="s">
        <v>65</v>
      </c>
      <c r="E789" t="s">
        <v>51</v>
      </c>
      <c r="F789" t="s">
        <v>52</v>
      </c>
      <c r="G789" t="s">
        <v>289</v>
      </c>
      <c r="H789">
        <v>1090.1300000000001</v>
      </c>
      <c r="I789">
        <v>71.39</v>
      </c>
      <c r="J789">
        <v>9</v>
      </c>
      <c r="K789" t="s">
        <v>18</v>
      </c>
      <c r="L789" t="s">
        <v>42</v>
      </c>
    </row>
    <row r="790" spans="1:12" x14ac:dyDescent="0.35">
      <c r="A790" t="s">
        <v>757</v>
      </c>
      <c r="B790" s="4">
        <v>45624</v>
      </c>
      <c r="C790" t="s">
        <v>35</v>
      </c>
      <c r="D790" t="s">
        <v>36</v>
      </c>
      <c r="E790" t="s">
        <v>51</v>
      </c>
      <c r="F790" t="s">
        <v>74</v>
      </c>
      <c r="G790" t="s">
        <v>305</v>
      </c>
      <c r="H790">
        <v>1087.44</v>
      </c>
      <c r="I790">
        <v>380.28</v>
      </c>
      <c r="J790">
        <v>9</v>
      </c>
      <c r="K790" t="s">
        <v>26</v>
      </c>
      <c r="L790" t="s">
        <v>42</v>
      </c>
    </row>
    <row r="791" spans="1:12" x14ac:dyDescent="0.35">
      <c r="A791" t="s">
        <v>886</v>
      </c>
      <c r="B791" s="4">
        <v>45549</v>
      </c>
      <c r="C791" t="s">
        <v>21</v>
      </c>
      <c r="D791" t="s">
        <v>134</v>
      </c>
      <c r="E791" t="s">
        <v>51</v>
      </c>
      <c r="F791" t="s">
        <v>52</v>
      </c>
      <c r="G791" t="s">
        <v>730</v>
      </c>
      <c r="H791">
        <v>1084.07</v>
      </c>
      <c r="I791">
        <v>139.30000000000001</v>
      </c>
      <c r="J791">
        <v>2</v>
      </c>
      <c r="K791" t="s">
        <v>32</v>
      </c>
      <c r="L791" t="s">
        <v>58</v>
      </c>
    </row>
    <row r="792" spans="1:12" x14ac:dyDescent="0.35">
      <c r="A792" t="s">
        <v>354</v>
      </c>
      <c r="B792" s="4">
        <v>45470</v>
      </c>
      <c r="C792" t="s">
        <v>46</v>
      </c>
      <c r="D792" t="s">
        <v>56</v>
      </c>
      <c r="E792" t="s">
        <v>23</v>
      </c>
      <c r="F792" t="s">
        <v>69</v>
      </c>
      <c r="G792" t="s">
        <v>355</v>
      </c>
      <c r="H792">
        <v>1069.46</v>
      </c>
      <c r="I792">
        <v>109.45</v>
      </c>
      <c r="J792">
        <v>2</v>
      </c>
      <c r="K792" t="s">
        <v>26</v>
      </c>
      <c r="L792" t="s">
        <v>58</v>
      </c>
    </row>
    <row r="793" spans="1:12" x14ac:dyDescent="0.35">
      <c r="A793" t="s">
        <v>426</v>
      </c>
      <c r="B793" s="4">
        <v>45543</v>
      </c>
      <c r="C793" t="s">
        <v>46</v>
      </c>
      <c r="D793" t="s">
        <v>47</v>
      </c>
      <c r="E793" t="s">
        <v>23</v>
      </c>
      <c r="F793" t="s">
        <v>69</v>
      </c>
      <c r="G793" t="s">
        <v>365</v>
      </c>
      <c r="H793">
        <v>1062.6500000000001</v>
      </c>
      <c r="I793">
        <v>308.29000000000002</v>
      </c>
      <c r="J793">
        <v>3</v>
      </c>
      <c r="K793" t="s">
        <v>32</v>
      </c>
      <c r="L793" t="s">
        <v>61</v>
      </c>
    </row>
    <row r="794" spans="1:12" x14ac:dyDescent="0.35">
      <c r="A794" t="s">
        <v>500</v>
      </c>
      <c r="B794" s="4">
        <v>45606</v>
      </c>
      <c r="C794" t="s">
        <v>21</v>
      </c>
      <c r="D794" t="s">
        <v>22</v>
      </c>
      <c r="E794" t="s">
        <v>51</v>
      </c>
      <c r="F794" t="s">
        <v>74</v>
      </c>
      <c r="G794" t="s">
        <v>267</v>
      </c>
      <c r="H794">
        <v>1056.1099999999999</v>
      </c>
      <c r="I794">
        <v>278.44</v>
      </c>
      <c r="J794">
        <v>9</v>
      </c>
      <c r="K794" t="s">
        <v>26</v>
      </c>
      <c r="L794" t="s">
        <v>27</v>
      </c>
    </row>
    <row r="795" spans="1:12" x14ac:dyDescent="0.35">
      <c r="A795" t="s">
        <v>976</v>
      </c>
      <c r="B795" s="4">
        <v>45536</v>
      </c>
      <c r="C795" t="s">
        <v>21</v>
      </c>
      <c r="D795" t="s">
        <v>22</v>
      </c>
      <c r="E795" t="s">
        <v>51</v>
      </c>
      <c r="F795" t="s">
        <v>66</v>
      </c>
      <c r="G795" t="s">
        <v>864</v>
      </c>
      <c r="H795">
        <v>1055.92</v>
      </c>
      <c r="I795">
        <v>201.91</v>
      </c>
      <c r="J795">
        <v>2</v>
      </c>
      <c r="K795" t="s">
        <v>18</v>
      </c>
      <c r="L795" t="s">
        <v>54</v>
      </c>
    </row>
    <row r="796" spans="1:12" x14ac:dyDescent="0.35">
      <c r="A796" t="s">
        <v>1222</v>
      </c>
      <c r="B796" s="4">
        <v>45344</v>
      </c>
      <c r="C796" t="s">
        <v>46</v>
      </c>
      <c r="D796" t="s">
        <v>56</v>
      </c>
      <c r="E796" t="s">
        <v>51</v>
      </c>
      <c r="F796" t="s">
        <v>66</v>
      </c>
      <c r="G796" t="s">
        <v>242</v>
      </c>
      <c r="H796">
        <v>1053.2</v>
      </c>
      <c r="I796">
        <v>132.86000000000001</v>
      </c>
      <c r="J796">
        <v>2</v>
      </c>
      <c r="K796" t="s">
        <v>32</v>
      </c>
      <c r="L796" t="s">
        <v>42</v>
      </c>
    </row>
    <row r="797" spans="1:12" x14ac:dyDescent="0.35">
      <c r="A797" t="s">
        <v>754</v>
      </c>
      <c r="B797" s="4">
        <v>45476</v>
      </c>
      <c r="C797" t="s">
        <v>35</v>
      </c>
      <c r="D797" t="s">
        <v>50</v>
      </c>
      <c r="E797" t="s">
        <v>51</v>
      </c>
      <c r="F797" t="s">
        <v>66</v>
      </c>
      <c r="G797" t="s">
        <v>721</v>
      </c>
      <c r="H797">
        <v>1052.74</v>
      </c>
      <c r="I797">
        <v>204.51</v>
      </c>
      <c r="J797">
        <v>4</v>
      </c>
      <c r="K797" t="s">
        <v>32</v>
      </c>
      <c r="L797" t="s">
        <v>54</v>
      </c>
    </row>
    <row r="798" spans="1:12" x14ac:dyDescent="0.35">
      <c r="A798" t="s">
        <v>670</v>
      </c>
      <c r="B798" s="4">
        <v>45439</v>
      </c>
      <c r="C798" t="s">
        <v>21</v>
      </c>
      <c r="D798" t="s">
        <v>134</v>
      </c>
      <c r="E798" t="s">
        <v>51</v>
      </c>
      <c r="F798" t="s">
        <v>52</v>
      </c>
      <c r="G798" t="s">
        <v>53</v>
      </c>
      <c r="H798">
        <v>1052.73</v>
      </c>
      <c r="I798">
        <v>59.3</v>
      </c>
      <c r="J798">
        <v>3</v>
      </c>
      <c r="K798" t="s">
        <v>26</v>
      </c>
      <c r="L798" t="s">
        <v>54</v>
      </c>
    </row>
    <row r="799" spans="1:12" x14ac:dyDescent="0.35">
      <c r="A799" t="s">
        <v>898</v>
      </c>
      <c r="B799" s="4">
        <v>45358</v>
      </c>
      <c r="C799" t="s">
        <v>35</v>
      </c>
      <c r="D799" t="s">
        <v>50</v>
      </c>
      <c r="E799" t="s">
        <v>23</v>
      </c>
      <c r="F799" t="s">
        <v>92</v>
      </c>
      <c r="G799" t="s">
        <v>566</v>
      </c>
      <c r="H799">
        <v>1043.31</v>
      </c>
      <c r="I799">
        <v>187.99</v>
      </c>
      <c r="J799">
        <v>1</v>
      </c>
      <c r="K799" t="s">
        <v>18</v>
      </c>
      <c r="L799" t="s">
        <v>61</v>
      </c>
    </row>
    <row r="800" spans="1:12" x14ac:dyDescent="0.35">
      <c r="A800" t="s">
        <v>286</v>
      </c>
      <c r="B800" s="4">
        <v>45436</v>
      </c>
      <c r="C800" t="s">
        <v>35</v>
      </c>
      <c r="D800" t="s">
        <v>36</v>
      </c>
      <c r="E800" t="s">
        <v>51</v>
      </c>
      <c r="F800" t="s">
        <v>74</v>
      </c>
      <c r="G800" t="s">
        <v>132</v>
      </c>
      <c r="H800">
        <v>1034.83</v>
      </c>
      <c r="I800">
        <v>263.27</v>
      </c>
      <c r="J800">
        <v>3</v>
      </c>
      <c r="K800" t="s">
        <v>26</v>
      </c>
      <c r="L800" t="s">
        <v>33</v>
      </c>
    </row>
    <row r="801" spans="1:12" x14ac:dyDescent="0.35">
      <c r="A801" t="s">
        <v>833</v>
      </c>
      <c r="B801" s="4">
        <v>45553</v>
      </c>
      <c r="C801" t="s">
        <v>13</v>
      </c>
      <c r="D801" t="s">
        <v>14</v>
      </c>
      <c r="E801" t="s">
        <v>15</v>
      </c>
      <c r="F801" t="s">
        <v>40</v>
      </c>
      <c r="G801" t="s">
        <v>41</v>
      </c>
      <c r="H801">
        <v>1032.45</v>
      </c>
      <c r="I801">
        <v>283.22000000000003</v>
      </c>
      <c r="J801">
        <v>4</v>
      </c>
      <c r="K801" t="s">
        <v>18</v>
      </c>
      <c r="L801" t="s">
        <v>54</v>
      </c>
    </row>
    <row r="802" spans="1:12" x14ac:dyDescent="0.35">
      <c r="A802" t="s">
        <v>274</v>
      </c>
      <c r="B802" s="4">
        <v>45538</v>
      </c>
      <c r="C802" t="s">
        <v>21</v>
      </c>
      <c r="D802" t="s">
        <v>134</v>
      </c>
      <c r="E802" t="s">
        <v>51</v>
      </c>
      <c r="F802" t="s">
        <v>52</v>
      </c>
      <c r="G802" t="s">
        <v>201</v>
      </c>
      <c r="H802">
        <v>1024.71</v>
      </c>
      <c r="I802">
        <v>260.01</v>
      </c>
      <c r="J802">
        <v>4</v>
      </c>
      <c r="K802" t="s">
        <v>32</v>
      </c>
      <c r="L802" t="s">
        <v>58</v>
      </c>
    </row>
    <row r="803" spans="1:12" x14ac:dyDescent="0.35">
      <c r="A803" t="s">
        <v>508</v>
      </c>
      <c r="B803" s="4">
        <v>45299</v>
      </c>
      <c r="C803" t="s">
        <v>35</v>
      </c>
      <c r="D803" t="s">
        <v>50</v>
      </c>
      <c r="E803" t="s">
        <v>51</v>
      </c>
      <c r="F803" t="s">
        <v>74</v>
      </c>
      <c r="G803" t="s">
        <v>251</v>
      </c>
      <c r="H803">
        <v>1021.75</v>
      </c>
      <c r="I803">
        <v>320.01</v>
      </c>
      <c r="J803">
        <v>8</v>
      </c>
      <c r="K803" t="s">
        <v>26</v>
      </c>
      <c r="L803" t="s">
        <v>19</v>
      </c>
    </row>
    <row r="804" spans="1:12" x14ac:dyDescent="0.35">
      <c r="A804" t="s">
        <v>162</v>
      </c>
      <c r="B804" s="4">
        <v>45636</v>
      </c>
      <c r="C804" t="s">
        <v>46</v>
      </c>
      <c r="D804" t="s">
        <v>47</v>
      </c>
      <c r="E804" t="s">
        <v>15</v>
      </c>
      <c r="F804" t="s">
        <v>40</v>
      </c>
      <c r="G804" t="s">
        <v>163</v>
      </c>
      <c r="H804">
        <v>1019.31</v>
      </c>
      <c r="I804">
        <v>182.19</v>
      </c>
      <c r="J804">
        <v>5</v>
      </c>
      <c r="K804" t="s">
        <v>32</v>
      </c>
      <c r="L804" t="s">
        <v>54</v>
      </c>
    </row>
    <row r="805" spans="1:12" x14ac:dyDescent="0.35">
      <c r="A805" t="s">
        <v>639</v>
      </c>
      <c r="B805" s="4">
        <v>45517</v>
      </c>
      <c r="C805" t="s">
        <v>46</v>
      </c>
      <c r="D805" t="s">
        <v>56</v>
      </c>
      <c r="E805" t="s">
        <v>23</v>
      </c>
      <c r="F805" t="s">
        <v>69</v>
      </c>
      <c r="G805" t="s">
        <v>167</v>
      </c>
      <c r="H805">
        <v>1016.15</v>
      </c>
      <c r="I805">
        <v>254.9</v>
      </c>
      <c r="J805">
        <v>2</v>
      </c>
      <c r="K805" t="s">
        <v>26</v>
      </c>
      <c r="L805" t="s">
        <v>33</v>
      </c>
    </row>
    <row r="806" spans="1:12" x14ac:dyDescent="0.35">
      <c r="A806" t="s">
        <v>1120</v>
      </c>
      <c r="B806" s="4">
        <v>45526</v>
      </c>
      <c r="C806" t="s">
        <v>13</v>
      </c>
      <c r="D806" t="s">
        <v>29</v>
      </c>
      <c r="E806" t="s">
        <v>51</v>
      </c>
      <c r="F806" t="s">
        <v>66</v>
      </c>
      <c r="G806" t="s">
        <v>224</v>
      </c>
      <c r="H806">
        <v>1014.77</v>
      </c>
      <c r="I806">
        <v>277.93</v>
      </c>
      <c r="J806">
        <v>1</v>
      </c>
      <c r="K806" t="s">
        <v>18</v>
      </c>
      <c r="L806" t="s">
        <v>58</v>
      </c>
    </row>
    <row r="807" spans="1:12" x14ac:dyDescent="0.35">
      <c r="A807" t="s">
        <v>650</v>
      </c>
      <c r="B807" s="4">
        <v>45372</v>
      </c>
      <c r="C807" t="s">
        <v>21</v>
      </c>
      <c r="D807" t="s">
        <v>134</v>
      </c>
      <c r="E807" t="s">
        <v>51</v>
      </c>
      <c r="F807" t="s">
        <v>52</v>
      </c>
      <c r="G807" t="s">
        <v>53</v>
      </c>
      <c r="H807">
        <v>1010.63</v>
      </c>
      <c r="I807">
        <v>312.94</v>
      </c>
      <c r="J807">
        <v>3</v>
      </c>
      <c r="K807" t="s">
        <v>32</v>
      </c>
      <c r="L807" t="s">
        <v>19</v>
      </c>
    </row>
    <row r="808" spans="1:12" x14ac:dyDescent="0.35">
      <c r="A808" t="s">
        <v>1175</v>
      </c>
      <c r="B808" s="4">
        <v>45625</v>
      </c>
      <c r="C808" t="s">
        <v>35</v>
      </c>
      <c r="D808" t="s">
        <v>50</v>
      </c>
      <c r="E808" t="s">
        <v>51</v>
      </c>
      <c r="F808" t="s">
        <v>66</v>
      </c>
      <c r="G808" t="s">
        <v>224</v>
      </c>
      <c r="H808">
        <v>1009.06</v>
      </c>
      <c r="I808">
        <v>73.05</v>
      </c>
      <c r="J808">
        <v>9</v>
      </c>
      <c r="K808" t="s">
        <v>18</v>
      </c>
      <c r="L808" t="s">
        <v>78</v>
      </c>
    </row>
    <row r="809" spans="1:12" x14ac:dyDescent="0.35">
      <c r="A809" t="s">
        <v>719</v>
      </c>
      <c r="B809" s="4">
        <v>45629</v>
      </c>
      <c r="C809" t="s">
        <v>21</v>
      </c>
      <c r="D809" t="s">
        <v>22</v>
      </c>
      <c r="E809" t="s">
        <v>51</v>
      </c>
      <c r="F809" t="s">
        <v>74</v>
      </c>
      <c r="G809" t="s">
        <v>580</v>
      </c>
      <c r="H809">
        <v>1005.25</v>
      </c>
      <c r="I809">
        <v>255.91</v>
      </c>
      <c r="J809">
        <v>8</v>
      </c>
      <c r="K809" t="s">
        <v>26</v>
      </c>
      <c r="L809" t="s">
        <v>42</v>
      </c>
    </row>
    <row r="810" spans="1:12" x14ac:dyDescent="0.35">
      <c r="A810" t="s">
        <v>850</v>
      </c>
      <c r="B810" s="4">
        <v>45347</v>
      </c>
      <c r="C810" t="s">
        <v>13</v>
      </c>
      <c r="D810" t="s">
        <v>14</v>
      </c>
      <c r="E810" t="s">
        <v>23</v>
      </c>
      <c r="F810" t="s">
        <v>24</v>
      </c>
      <c r="G810" t="s">
        <v>329</v>
      </c>
      <c r="H810">
        <v>1002.65</v>
      </c>
      <c r="I810">
        <v>104.53</v>
      </c>
      <c r="J810">
        <v>7</v>
      </c>
      <c r="K810" t="s">
        <v>32</v>
      </c>
      <c r="L810" t="s">
        <v>78</v>
      </c>
    </row>
    <row r="811" spans="1:12" x14ac:dyDescent="0.35">
      <c r="A811" t="s">
        <v>867</v>
      </c>
      <c r="B811" s="4">
        <v>45382</v>
      </c>
      <c r="C811" t="s">
        <v>13</v>
      </c>
      <c r="D811" t="s">
        <v>82</v>
      </c>
      <c r="E811" t="s">
        <v>51</v>
      </c>
      <c r="F811" t="s">
        <v>66</v>
      </c>
      <c r="G811" t="s">
        <v>554</v>
      </c>
      <c r="H811">
        <v>1002.01</v>
      </c>
      <c r="I811">
        <v>148.81</v>
      </c>
      <c r="J811">
        <v>8</v>
      </c>
      <c r="K811" t="s">
        <v>26</v>
      </c>
      <c r="L811" t="s">
        <v>78</v>
      </c>
    </row>
    <row r="812" spans="1:12" x14ac:dyDescent="0.35">
      <c r="A812" t="s">
        <v>823</v>
      </c>
      <c r="B812" s="4">
        <v>45520</v>
      </c>
      <c r="C812" t="s">
        <v>13</v>
      </c>
      <c r="D812" t="s">
        <v>29</v>
      </c>
      <c r="E812" t="s">
        <v>51</v>
      </c>
      <c r="F812" t="s">
        <v>74</v>
      </c>
      <c r="G812" t="s">
        <v>277</v>
      </c>
      <c r="H812">
        <v>1000.58</v>
      </c>
      <c r="I812">
        <v>174.47</v>
      </c>
      <c r="J812">
        <v>6</v>
      </c>
      <c r="K812" t="s">
        <v>26</v>
      </c>
      <c r="L812" t="s">
        <v>33</v>
      </c>
    </row>
    <row r="813" spans="1:12" x14ac:dyDescent="0.35">
      <c r="A813" t="s">
        <v>920</v>
      </c>
      <c r="B813" s="4">
        <v>45348</v>
      </c>
      <c r="C813" t="s">
        <v>21</v>
      </c>
      <c r="D813" t="s">
        <v>65</v>
      </c>
      <c r="E813" t="s">
        <v>23</v>
      </c>
      <c r="F813" t="s">
        <v>69</v>
      </c>
      <c r="G813" t="s">
        <v>107</v>
      </c>
      <c r="H813">
        <v>999.82</v>
      </c>
      <c r="I813">
        <v>294.62</v>
      </c>
      <c r="J813">
        <v>2</v>
      </c>
      <c r="K813" t="s">
        <v>26</v>
      </c>
      <c r="L813" t="s">
        <v>78</v>
      </c>
    </row>
    <row r="814" spans="1:12" x14ac:dyDescent="0.35">
      <c r="A814" t="s">
        <v>1102</v>
      </c>
      <c r="B814" s="4">
        <v>45569</v>
      </c>
      <c r="C814" t="s">
        <v>13</v>
      </c>
      <c r="D814" t="s">
        <v>82</v>
      </c>
      <c r="E814" t="s">
        <v>23</v>
      </c>
      <c r="F814" t="s">
        <v>92</v>
      </c>
      <c r="G814" t="s">
        <v>109</v>
      </c>
      <c r="H814">
        <v>998.92</v>
      </c>
      <c r="I814">
        <v>213.77</v>
      </c>
      <c r="J814">
        <v>3</v>
      </c>
      <c r="K814" t="s">
        <v>18</v>
      </c>
      <c r="L814" t="s">
        <v>61</v>
      </c>
    </row>
    <row r="815" spans="1:12" x14ac:dyDescent="0.35">
      <c r="A815" t="s">
        <v>1085</v>
      </c>
      <c r="B815" s="4">
        <v>45484</v>
      </c>
      <c r="C815" t="s">
        <v>46</v>
      </c>
      <c r="D815" t="s">
        <v>89</v>
      </c>
      <c r="E815" t="s">
        <v>15</v>
      </c>
      <c r="F815" t="s">
        <v>16</v>
      </c>
      <c r="G815" t="s">
        <v>179</v>
      </c>
      <c r="H815">
        <v>993.09</v>
      </c>
      <c r="I815">
        <v>70.239999999999995</v>
      </c>
      <c r="J815">
        <v>8</v>
      </c>
      <c r="K815" t="s">
        <v>18</v>
      </c>
      <c r="L815" t="s">
        <v>58</v>
      </c>
    </row>
    <row r="816" spans="1:12" x14ac:dyDescent="0.35">
      <c r="A816" t="s">
        <v>1043</v>
      </c>
      <c r="B816" s="4">
        <v>45301</v>
      </c>
      <c r="C816" t="s">
        <v>13</v>
      </c>
      <c r="D816" t="s">
        <v>82</v>
      </c>
      <c r="E816" t="s">
        <v>51</v>
      </c>
      <c r="F816" t="s">
        <v>52</v>
      </c>
      <c r="G816" t="s">
        <v>185</v>
      </c>
      <c r="H816">
        <v>989.71</v>
      </c>
      <c r="I816">
        <v>148.11000000000001</v>
      </c>
      <c r="J816">
        <v>5</v>
      </c>
      <c r="K816" t="s">
        <v>18</v>
      </c>
      <c r="L816" t="s">
        <v>54</v>
      </c>
    </row>
    <row r="817" spans="1:12" x14ac:dyDescent="0.35">
      <c r="A817" t="s">
        <v>497</v>
      </c>
      <c r="B817" s="4">
        <v>45549</v>
      </c>
      <c r="C817" t="s">
        <v>21</v>
      </c>
      <c r="D817" t="s">
        <v>22</v>
      </c>
      <c r="E817" t="s">
        <v>51</v>
      </c>
      <c r="F817" t="s">
        <v>66</v>
      </c>
      <c r="G817" t="s">
        <v>206</v>
      </c>
      <c r="H817">
        <v>987.73</v>
      </c>
      <c r="I817">
        <v>282.81</v>
      </c>
      <c r="J817">
        <v>5</v>
      </c>
      <c r="K817" t="s">
        <v>26</v>
      </c>
      <c r="L817" t="s">
        <v>54</v>
      </c>
    </row>
    <row r="818" spans="1:12" x14ac:dyDescent="0.35">
      <c r="A818" t="s">
        <v>470</v>
      </c>
      <c r="B818" s="4">
        <v>45604</v>
      </c>
      <c r="C818" t="s">
        <v>13</v>
      </c>
      <c r="D818" t="s">
        <v>82</v>
      </c>
      <c r="E818" t="s">
        <v>51</v>
      </c>
      <c r="F818" t="s">
        <v>74</v>
      </c>
      <c r="G818" t="s">
        <v>373</v>
      </c>
      <c r="H818">
        <v>985.87</v>
      </c>
      <c r="I818">
        <v>162.31</v>
      </c>
      <c r="J818">
        <v>7</v>
      </c>
      <c r="K818" t="s">
        <v>26</v>
      </c>
      <c r="L818" t="s">
        <v>27</v>
      </c>
    </row>
    <row r="819" spans="1:12" x14ac:dyDescent="0.35">
      <c r="A819" t="s">
        <v>960</v>
      </c>
      <c r="B819" s="4">
        <v>45402</v>
      </c>
      <c r="C819" t="s">
        <v>13</v>
      </c>
      <c r="D819" t="s">
        <v>29</v>
      </c>
      <c r="E819" t="s">
        <v>51</v>
      </c>
      <c r="F819" t="s">
        <v>74</v>
      </c>
      <c r="G819" t="s">
        <v>171</v>
      </c>
      <c r="H819">
        <v>985.73</v>
      </c>
      <c r="I819">
        <v>131.47</v>
      </c>
      <c r="J819">
        <v>2</v>
      </c>
      <c r="K819" t="s">
        <v>18</v>
      </c>
      <c r="L819" t="s">
        <v>42</v>
      </c>
    </row>
    <row r="820" spans="1:12" x14ac:dyDescent="0.35">
      <c r="A820" t="s">
        <v>732</v>
      </c>
      <c r="B820" s="4">
        <v>45608</v>
      </c>
      <c r="C820" t="s">
        <v>46</v>
      </c>
      <c r="D820" t="s">
        <v>47</v>
      </c>
      <c r="E820" t="s">
        <v>15</v>
      </c>
      <c r="F820" t="s">
        <v>40</v>
      </c>
      <c r="G820" t="s">
        <v>347</v>
      </c>
      <c r="H820">
        <v>980.65</v>
      </c>
      <c r="I820">
        <v>249.54</v>
      </c>
      <c r="J820">
        <v>3</v>
      </c>
      <c r="K820" t="s">
        <v>32</v>
      </c>
      <c r="L820" t="s">
        <v>58</v>
      </c>
    </row>
    <row r="821" spans="1:12" x14ac:dyDescent="0.35">
      <c r="A821" t="s">
        <v>818</v>
      </c>
      <c r="B821" s="4">
        <v>45446</v>
      </c>
      <c r="C821" t="s">
        <v>13</v>
      </c>
      <c r="D821" t="s">
        <v>82</v>
      </c>
      <c r="E821" t="s">
        <v>15</v>
      </c>
      <c r="F821" t="s">
        <v>30</v>
      </c>
      <c r="G821" t="s">
        <v>57</v>
      </c>
      <c r="H821">
        <v>978.78</v>
      </c>
      <c r="I821">
        <v>306.64</v>
      </c>
      <c r="J821">
        <v>8</v>
      </c>
      <c r="K821" t="s">
        <v>32</v>
      </c>
      <c r="L821" t="s">
        <v>33</v>
      </c>
    </row>
    <row r="822" spans="1:12" x14ac:dyDescent="0.35">
      <c r="A822" t="s">
        <v>290</v>
      </c>
      <c r="B822" s="4">
        <v>45514</v>
      </c>
      <c r="C822" t="s">
        <v>13</v>
      </c>
      <c r="D822" t="s">
        <v>14</v>
      </c>
      <c r="E822" t="s">
        <v>51</v>
      </c>
      <c r="F822" t="s">
        <v>52</v>
      </c>
      <c r="G822" t="s">
        <v>291</v>
      </c>
      <c r="H822">
        <v>978.05</v>
      </c>
      <c r="I822">
        <v>271.89999999999998</v>
      </c>
      <c r="J822">
        <v>6</v>
      </c>
      <c r="K822" t="s">
        <v>18</v>
      </c>
      <c r="L822" t="s">
        <v>61</v>
      </c>
    </row>
    <row r="823" spans="1:12" x14ac:dyDescent="0.35">
      <c r="A823" t="s">
        <v>646</v>
      </c>
      <c r="B823" s="4">
        <v>45481</v>
      </c>
      <c r="C823" t="s">
        <v>13</v>
      </c>
      <c r="D823" t="s">
        <v>14</v>
      </c>
      <c r="E823" t="s">
        <v>51</v>
      </c>
      <c r="F823" t="s">
        <v>52</v>
      </c>
      <c r="G823" t="s">
        <v>119</v>
      </c>
      <c r="H823">
        <v>977.24</v>
      </c>
      <c r="I823">
        <v>115.06</v>
      </c>
      <c r="J823">
        <v>3</v>
      </c>
      <c r="K823" t="s">
        <v>32</v>
      </c>
      <c r="L823" t="s">
        <v>58</v>
      </c>
    </row>
    <row r="824" spans="1:12" x14ac:dyDescent="0.35">
      <c r="A824" t="s">
        <v>578</v>
      </c>
      <c r="B824" s="4">
        <v>45626</v>
      </c>
      <c r="C824" t="s">
        <v>13</v>
      </c>
      <c r="D824" t="s">
        <v>82</v>
      </c>
      <c r="E824" t="s">
        <v>15</v>
      </c>
      <c r="F824" t="s">
        <v>40</v>
      </c>
      <c r="G824" t="s">
        <v>249</v>
      </c>
      <c r="H824">
        <v>977.11</v>
      </c>
      <c r="I824">
        <v>272.83</v>
      </c>
      <c r="J824">
        <v>2</v>
      </c>
      <c r="K824" t="s">
        <v>26</v>
      </c>
      <c r="L824" t="s">
        <v>27</v>
      </c>
    </row>
    <row r="825" spans="1:12" x14ac:dyDescent="0.35">
      <c r="A825" t="s">
        <v>820</v>
      </c>
      <c r="B825" s="4">
        <v>45373</v>
      </c>
      <c r="C825" t="s">
        <v>21</v>
      </c>
      <c r="D825" t="s">
        <v>65</v>
      </c>
      <c r="E825" t="s">
        <v>23</v>
      </c>
      <c r="F825" t="s">
        <v>92</v>
      </c>
      <c r="G825" t="s">
        <v>566</v>
      </c>
      <c r="H825">
        <v>976.59</v>
      </c>
      <c r="I825">
        <v>140.15</v>
      </c>
      <c r="J825">
        <v>10</v>
      </c>
      <c r="K825" t="s">
        <v>18</v>
      </c>
      <c r="L825" t="s">
        <v>42</v>
      </c>
    </row>
    <row r="826" spans="1:12" x14ac:dyDescent="0.35">
      <c r="A826" t="s">
        <v>648</v>
      </c>
      <c r="B826" s="4">
        <v>45302</v>
      </c>
      <c r="C826" t="s">
        <v>46</v>
      </c>
      <c r="D826" t="s">
        <v>47</v>
      </c>
      <c r="E826" t="s">
        <v>15</v>
      </c>
      <c r="F826" t="s">
        <v>30</v>
      </c>
      <c r="G826" t="s">
        <v>489</v>
      </c>
      <c r="H826">
        <v>971.33</v>
      </c>
      <c r="I826">
        <v>136.55000000000001</v>
      </c>
      <c r="J826">
        <v>1</v>
      </c>
      <c r="K826" t="s">
        <v>26</v>
      </c>
      <c r="L826" t="s">
        <v>42</v>
      </c>
    </row>
    <row r="827" spans="1:12" x14ac:dyDescent="0.35">
      <c r="A827" t="s">
        <v>106</v>
      </c>
      <c r="B827" s="4">
        <v>45338</v>
      </c>
      <c r="C827" t="s">
        <v>46</v>
      </c>
      <c r="D827" t="s">
        <v>47</v>
      </c>
      <c r="E827" t="s">
        <v>23</v>
      </c>
      <c r="F827" t="s">
        <v>69</v>
      </c>
      <c r="G827" t="s">
        <v>107</v>
      </c>
      <c r="H827">
        <v>970.3</v>
      </c>
      <c r="I827">
        <v>278.07</v>
      </c>
      <c r="J827">
        <v>8</v>
      </c>
      <c r="K827" t="s">
        <v>32</v>
      </c>
      <c r="L827" t="s">
        <v>61</v>
      </c>
    </row>
    <row r="828" spans="1:12" x14ac:dyDescent="0.35">
      <c r="A828" t="s">
        <v>398</v>
      </c>
      <c r="B828" s="4">
        <v>45650</v>
      </c>
      <c r="C828" t="s">
        <v>13</v>
      </c>
      <c r="D828" t="s">
        <v>14</v>
      </c>
      <c r="E828" t="s">
        <v>15</v>
      </c>
      <c r="F828" t="s">
        <v>40</v>
      </c>
      <c r="G828" t="s">
        <v>399</v>
      </c>
      <c r="H828">
        <v>969.23</v>
      </c>
      <c r="I828">
        <v>58.84</v>
      </c>
      <c r="J828">
        <v>4</v>
      </c>
      <c r="K828" t="s">
        <v>26</v>
      </c>
      <c r="L828" t="s">
        <v>78</v>
      </c>
    </row>
    <row r="829" spans="1:12" x14ac:dyDescent="0.35">
      <c r="A829" t="s">
        <v>755</v>
      </c>
      <c r="B829" s="4">
        <v>45351</v>
      </c>
      <c r="C829" t="s">
        <v>35</v>
      </c>
      <c r="D829" t="s">
        <v>39</v>
      </c>
      <c r="E829" t="s">
        <v>51</v>
      </c>
      <c r="F829" t="s">
        <v>52</v>
      </c>
      <c r="G829" t="s">
        <v>422</v>
      </c>
      <c r="H829">
        <v>962.57</v>
      </c>
      <c r="I829">
        <v>318.57</v>
      </c>
      <c r="J829">
        <v>10</v>
      </c>
      <c r="K829" t="s">
        <v>26</v>
      </c>
      <c r="L829" t="s">
        <v>27</v>
      </c>
    </row>
    <row r="830" spans="1:12" x14ac:dyDescent="0.35">
      <c r="A830" t="s">
        <v>94</v>
      </c>
      <c r="B830" s="4">
        <v>45398</v>
      </c>
      <c r="C830" t="s">
        <v>13</v>
      </c>
      <c r="D830" t="s">
        <v>29</v>
      </c>
      <c r="E830" t="s">
        <v>15</v>
      </c>
      <c r="F830" t="s">
        <v>30</v>
      </c>
      <c r="G830" t="s">
        <v>57</v>
      </c>
      <c r="H830">
        <v>959.17</v>
      </c>
      <c r="I830">
        <v>110.01</v>
      </c>
      <c r="J830">
        <v>5</v>
      </c>
      <c r="K830" t="s">
        <v>32</v>
      </c>
      <c r="L830" t="s">
        <v>27</v>
      </c>
    </row>
    <row r="831" spans="1:12" x14ac:dyDescent="0.35">
      <c r="A831" t="s">
        <v>1064</v>
      </c>
      <c r="B831" s="4">
        <v>45583</v>
      </c>
      <c r="C831" t="s">
        <v>13</v>
      </c>
      <c r="D831" t="s">
        <v>14</v>
      </c>
      <c r="E831" t="s">
        <v>23</v>
      </c>
      <c r="F831" t="s">
        <v>69</v>
      </c>
      <c r="G831" t="s">
        <v>161</v>
      </c>
      <c r="H831">
        <v>955.07</v>
      </c>
      <c r="I831">
        <v>228.09</v>
      </c>
      <c r="J831">
        <v>1</v>
      </c>
      <c r="K831" t="s">
        <v>18</v>
      </c>
      <c r="L831" t="s">
        <v>19</v>
      </c>
    </row>
    <row r="832" spans="1:12" x14ac:dyDescent="0.35">
      <c r="A832" t="s">
        <v>626</v>
      </c>
      <c r="B832" s="4">
        <v>45602</v>
      </c>
      <c r="C832" t="s">
        <v>35</v>
      </c>
      <c r="D832" t="s">
        <v>39</v>
      </c>
      <c r="E832" t="s">
        <v>23</v>
      </c>
      <c r="F832" t="s">
        <v>92</v>
      </c>
      <c r="G832" t="s">
        <v>566</v>
      </c>
      <c r="H832">
        <v>950.4</v>
      </c>
      <c r="I832">
        <v>197.91</v>
      </c>
      <c r="J832">
        <v>3</v>
      </c>
      <c r="K832" t="s">
        <v>32</v>
      </c>
      <c r="L832" t="s">
        <v>42</v>
      </c>
    </row>
    <row r="833" spans="1:12" x14ac:dyDescent="0.35">
      <c r="A833" t="s">
        <v>1133</v>
      </c>
      <c r="B833" s="4">
        <v>45558</v>
      </c>
      <c r="C833" t="s">
        <v>13</v>
      </c>
      <c r="D833" t="s">
        <v>29</v>
      </c>
      <c r="E833" t="s">
        <v>15</v>
      </c>
      <c r="F833" t="s">
        <v>40</v>
      </c>
      <c r="G833" t="s">
        <v>249</v>
      </c>
      <c r="H833">
        <v>949.92</v>
      </c>
      <c r="I833">
        <v>304.39</v>
      </c>
      <c r="J833">
        <v>8</v>
      </c>
      <c r="K833" t="s">
        <v>26</v>
      </c>
      <c r="L833" t="s">
        <v>78</v>
      </c>
    </row>
    <row r="834" spans="1:12" x14ac:dyDescent="0.35">
      <c r="A834" t="s">
        <v>1077</v>
      </c>
      <c r="B834" s="4">
        <v>45519</v>
      </c>
      <c r="C834" t="s">
        <v>46</v>
      </c>
      <c r="D834" t="s">
        <v>56</v>
      </c>
      <c r="E834" t="s">
        <v>51</v>
      </c>
      <c r="F834" t="s">
        <v>74</v>
      </c>
      <c r="G834" t="s">
        <v>550</v>
      </c>
      <c r="H834">
        <v>948.4</v>
      </c>
      <c r="I834">
        <v>67.209999999999994</v>
      </c>
      <c r="J834">
        <v>7</v>
      </c>
      <c r="K834" t="s">
        <v>26</v>
      </c>
      <c r="L834" t="s">
        <v>58</v>
      </c>
    </row>
    <row r="835" spans="1:12" x14ac:dyDescent="0.35">
      <c r="A835" t="s">
        <v>933</v>
      </c>
      <c r="B835" s="4">
        <v>45360</v>
      </c>
      <c r="C835" t="s">
        <v>21</v>
      </c>
      <c r="D835" t="s">
        <v>65</v>
      </c>
      <c r="E835" t="s">
        <v>23</v>
      </c>
      <c r="F835" t="s">
        <v>92</v>
      </c>
      <c r="G835" t="s">
        <v>183</v>
      </c>
      <c r="H835">
        <v>948.17</v>
      </c>
      <c r="I835">
        <v>306.87</v>
      </c>
      <c r="J835">
        <v>4</v>
      </c>
      <c r="K835" t="s">
        <v>26</v>
      </c>
      <c r="L835" t="s">
        <v>61</v>
      </c>
    </row>
    <row r="836" spans="1:12" x14ac:dyDescent="0.35">
      <c r="A836" t="s">
        <v>641</v>
      </c>
      <c r="B836" s="4">
        <v>45415</v>
      </c>
      <c r="C836" t="s">
        <v>46</v>
      </c>
      <c r="D836" t="s">
        <v>47</v>
      </c>
      <c r="E836" t="s">
        <v>51</v>
      </c>
      <c r="F836" t="s">
        <v>52</v>
      </c>
      <c r="G836" t="s">
        <v>535</v>
      </c>
      <c r="H836">
        <v>944.76</v>
      </c>
      <c r="I836">
        <v>98.73</v>
      </c>
      <c r="J836">
        <v>2</v>
      </c>
      <c r="K836" t="s">
        <v>18</v>
      </c>
      <c r="L836" t="s">
        <v>54</v>
      </c>
    </row>
    <row r="837" spans="1:12" x14ac:dyDescent="0.35">
      <c r="A837" t="s">
        <v>857</v>
      </c>
      <c r="B837" s="4">
        <v>45297</v>
      </c>
      <c r="C837" t="s">
        <v>35</v>
      </c>
      <c r="D837" t="s">
        <v>36</v>
      </c>
      <c r="E837" t="s">
        <v>23</v>
      </c>
      <c r="F837" t="s">
        <v>92</v>
      </c>
      <c r="G837" t="s">
        <v>165</v>
      </c>
      <c r="H837">
        <v>943.33</v>
      </c>
      <c r="I837">
        <v>259.25</v>
      </c>
      <c r="J837">
        <v>6</v>
      </c>
      <c r="K837" t="s">
        <v>32</v>
      </c>
      <c r="L837" t="s">
        <v>33</v>
      </c>
    </row>
    <row r="838" spans="1:12" x14ac:dyDescent="0.35">
      <c r="A838" t="s">
        <v>1225</v>
      </c>
      <c r="B838" s="4">
        <v>45392</v>
      </c>
      <c r="C838" t="s">
        <v>13</v>
      </c>
      <c r="D838" t="s">
        <v>29</v>
      </c>
      <c r="E838" t="s">
        <v>23</v>
      </c>
      <c r="F838" t="s">
        <v>69</v>
      </c>
      <c r="G838" t="s">
        <v>714</v>
      </c>
      <c r="H838">
        <v>938.98</v>
      </c>
      <c r="I838">
        <v>177.16</v>
      </c>
      <c r="J838">
        <v>4</v>
      </c>
      <c r="K838" t="s">
        <v>32</v>
      </c>
      <c r="L838" t="s">
        <v>54</v>
      </c>
    </row>
    <row r="839" spans="1:12" x14ac:dyDescent="0.35">
      <c r="A839" t="s">
        <v>1197</v>
      </c>
      <c r="B839" s="4">
        <v>45489</v>
      </c>
      <c r="C839" t="s">
        <v>21</v>
      </c>
      <c r="D839" t="s">
        <v>134</v>
      </c>
      <c r="E839" t="s">
        <v>51</v>
      </c>
      <c r="F839" t="s">
        <v>74</v>
      </c>
      <c r="G839" t="s">
        <v>277</v>
      </c>
      <c r="H839">
        <v>935.37</v>
      </c>
      <c r="I839">
        <v>292.82</v>
      </c>
      <c r="J839">
        <v>5</v>
      </c>
      <c r="K839" t="s">
        <v>32</v>
      </c>
      <c r="L839" t="s">
        <v>33</v>
      </c>
    </row>
    <row r="840" spans="1:12" x14ac:dyDescent="0.35">
      <c r="A840" t="s">
        <v>1048</v>
      </c>
      <c r="B840" s="4">
        <v>45557</v>
      </c>
      <c r="C840" t="s">
        <v>35</v>
      </c>
      <c r="D840" t="s">
        <v>50</v>
      </c>
      <c r="E840" t="s">
        <v>15</v>
      </c>
      <c r="F840" t="s">
        <v>40</v>
      </c>
      <c r="G840" t="s">
        <v>77</v>
      </c>
      <c r="H840">
        <v>929.42</v>
      </c>
      <c r="I840">
        <v>194.27</v>
      </c>
      <c r="J840">
        <v>6</v>
      </c>
      <c r="K840" t="s">
        <v>26</v>
      </c>
      <c r="L840" t="s">
        <v>54</v>
      </c>
    </row>
    <row r="841" spans="1:12" x14ac:dyDescent="0.35">
      <c r="A841" t="s">
        <v>1158</v>
      </c>
      <c r="B841" s="4">
        <v>45498</v>
      </c>
      <c r="C841" t="s">
        <v>13</v>
      </c>
      <c r="D841" t="s">
        <v>82</v>
      </c>
      <c r="E841" t="s">
        <v>51</v>
      </c>
      <c r="F841" t="s">
        <v>74</v>
      </c>
      <c r="G841" t="s">
        <v>302</v>
      </c>
      <c r="H841">
        <v>923.65</v>
      </c>
      <c r="I841">
        <v>321.73</v>
      </c>
      <c r="J841">
        <v>4</v>
      </c>
      <c r="K841" t="s">
        <v>32</v>
      </c>
      <c r="L841" t="s">
        <v>33</v>
      </c>
    </row>
    <row r="842" spans="1:12" x14ac:dyDescent="0.35">
      <c r="A842" t="s">
        <v>600</v>
      </c>
      <c r="B842" s="4">
        <v>45480</v>
      </c>
      <c r="C842" t="s">
        <v>13</v>
      </c>
      <c r="D842" t="s">
        <v>82</v>
      </c>
      <c r="E842" t="s">
        <v>23</v>
      </c>
      <c r="F842" t="s">
        <v>69</v>
      </c>
      <c r="G842" t="s">
        <v>601</v>
      </c>
      <c r="H842">
        <v>916.1</v>
      </c>
      <c r="I842">
        <v>241.12</v>
      </c>
      <c r="J842">
        <v>10</v>
      </c>
      <c r="K842" t="s">
        <v>32</v>
      </c>
      <c r="L842" t="s">
        <v>58</v>
      </c>
    </row>
    <row r="843" spans="1:12" x14ac:dyDescent="0.35">
      <c r="A843" t="s">
        <v>694</v>
      </c>
      <c r="B843" s="4">
        <v>45537</v>
      </c>
      <c r="C843" t="s">
        <v>46</v>
      </c>
      <c r="D843" t="s">
        <v>47</v>
      </c>
      <c r="E843" t="s">
        <v>15</v>
      </c>
      <c r="F843" t="s">
        <v>16</v>
      </c>
      <c r="G843" t="s">
        <v>695</v>
      </c>
      <c r="H843">
        <v>915.36</v>
      </c>
      <c r="I843">
        <v>216.93</v>
      </c>
      <c r="J843">
        <v>10</v>
      </c>
      <c r="K843" t="s">
        <v>26</v>
      </c>
      <c r="L843" t="s">
        <v>54</v>
      </c>
    </row>
    <row r="844" spans="1:12" x14ac:dyDescent="0.35">
      <c r="A844" t="s">
        <v>692</v>
      </c>
      <c r="B844" s="4">
        <v>45355</v>
      </c>
      <c r="C844" t="s">
        <v>35</v>
      </c>
      <c r="D844" t="s">
        <v>50</v>
      </c>
      <c r="E844" t="s">
        <v>51</v>
      </c>
      <c r="F844" t="s">
        <v>66</v>
      </c>
      <c r="G844" t="s">
        <v>206</v>
      </c>
      <c r="H844">
        <v>913.01</v>
      </c>
      <c r="I844">
        <v>74.290000000000006</v>
      </c>
      <c r="J844">
        <v>3</v>
      </c>
      <c r="K844" t="s">
        <v>18</v>
      </c>
      <c r="L844" t="s">
        <v>33</v>
      </c>
    </row>
    <row r="845" spans="1:12" x14ac:dyDescent="0.35">
      <c r="A845" t="s">
        <v>799</v>
      </c>
      <c r="B845" s="4">
        <v>45330</v>
      </c>
      <c r="C845" t="s">
        <v>35</v>
      </c>
      <c r="D845" t="s">
        <v>39</v>
      </c>
      <c r="E845" t="s">
        <v>23</v>
      </c>
      <c r="F845" t="s">
        <v>24</v>
      </c>
      <c r="G845" t="s">
        <v>87</v>
      </c>
      <c r="H845">
        <v>910.19</v>
      </c>
      <c r="I845">
        <v>109.5</v>
      </c>
      <c r="J845">
        <v>9</v>
      </c>
      <c r="K845" t="s">
        <v>26</v>
      </c>
      <c r="L845" t="s">
        <v>61</v>
      </c>
    </row>
    <row r="846" spans="1:12" x14ac:dyDescent="0.35">
      <c r="A846" t="s">
        <v>761</v>
      </c>
      <c r="B846" s="4">
        <v>45324</v>
      </c>
      <c r="C846" t="s">
        <v>21</v>
      </c>
      <c r="D846" t="s">
        <v>65</v>
      </c>
      <c r="E846" t="s">
        <v>51</v>
      </c>
      <c r="F846" t="s">
        <v>52</v>
      </c>
      <c r="G846" t="s">
        <v>185</v>
      </c>
      <c r="H846">
        <v>909.28</v>
      </c>
      <c r="I846">
        <v>180.77</v>
      </c>
      <c r="J846">
        <v>7</v>
      </c>
      <c r="K846" t="s">
        <v>26</v>
      </c>
      <c r="L846" t="s">
        <v>54</v>
      </c>
    </row>
    <row r="847" spans="1:12" x14ac:dyDescent="0.35">
      <c r="A847" t="s">
        <v>910</v>
      </c>
      <c r="B847" s="4">
        <v>45394</v>
      </c>
      <c r="C847" t="s">
        <v>35</v>
      </c>
      <c r="D847" t="s">
        <v>36</v>
      </c>
      <c r="E847" t="s">
        <v>51</v>
      </c>
      <c r="F847" t="s">
        <v>52</v>
      </c>
      <c r="G847" t="s">
        <v>316</v>
      </c>
      <c r="H847">
        <v>906.43</v>
      </c>
      <c r="I847">
        <v>51.95</v>
      </c>
      <c r="J847">
        <v>1</v>
      </c>
      <c r="K847" t="s">
        <v>26</v>
      </c>
      <c r="L847" t="s">
        <v>58</v>
      </c>
    </row>
    <row r="848" spans="1:12" x14ac:dyDescent="0.35">
      <c r="A848" t="s">
        <v>495</v>
      </c>
      <c r="B848" s="4">
        <v>45318</v>
      </c>
      <c r="C848" t="s">
        <v>21</v>
      </c>
      <c r="D848" t="s">
        <v>22</v>
      </c>
      <c r="E848" t="s">
        <v>23</v>
      </c>
      <c r="F848" t="s">
        <v>24</v>
      </c>
      <c r="G848" t="s">
        <v>496</v>
      </c>
      <c r="H848">
        <v>904.57</v>
      </c>
      <c r="I848">
        <v>241.11</v>
      </c>
      <c r="J848">
        <v>1</v>
      </c>
      <c r="K848" t="s">
        <v>18</v>
      </c>
      <c r="L848" t="s">
        <v>33</v>
      </c>
    </row>
    <row r="849" spans="1:12" x14ac:dyDescent="0.35">
      <c r="A849" t="s">
        <v>977</v>
      </c>
      <c r="B849" s="4">
        <v>45444</v>
      </c>
      <c r="C849" t="s">
        <v>46</v>
      </c>
      <c r="D849" t="s">
        <v>47</v>
      </c>
      <c r="E849" t="s">
        <v>23</v>
      </c>
      <c r="F849" t="s">
        <v>92</v>
      </c>
      <c r="G849" t="s">
        <v>151</v>
      </c>
      <c r="H849">
        <v>899.27</v>
      </c>
      <c r="I849">
        <v>261.85000000000002</v>
      </c>
      <c r="J849">
        <v>4</v>
      </c>
      <c r="K849" t="s">
        <v>32</v>
      </c>
      <c r="L849" t="s">
        <v>54</v>
      </c>
    </row>
    <row r="850" spans="1:12" x14ac:dyDescent="0.35">
      <c r="A850" t="s">
        <v>728</v>
      </c>
      <c r="B850" s="4">
        <v>45637</v>
      </c>
      <c r="C850" t="s">
        <v>13</v>
      </c>
      <c r="D850" t="s">
        <v>29</v>
      </c>
      <c r="E850" t="s">
        <v>23</v>
      </c>
      <c r="F850" t="s">
        <v>24</v>
      </c>
      <c r="G850" t="s">
        <v>318</v>
      </c>
      <c r="H850">
        <v>896.51</v>
      </c>
      <c r="I850">
        <v>281.70999999999998</v>
      </c>
      <c r="J850">
        <v>3</v>
      </c>
      <c r="K850" t="s">
        <v>18</v>
      </c>
      <c r="L850" t="s">
        <v>42</v>
      </c>
    </row>
    <row r="851" spans="1:12" x14ac:dyDescent="0.35">
      <c r="A851" t="s">
        <v>636</v>
      </c>
      <c r="B851" s="4">
        <v>45653</v>
      </c>
      <c r="C851" t="s">
        <v>13</v>
      </c>
      <c r="D851" t="s">
        <v>29</v>
      </c>
      <c r="E851" t="s">
        <v>15</v>
      </c>
      <c r="F851" t="s">
        <v>30</v>
      </c>
      <c r="G851" t="s">
        <v>48</v>
      </c>
      <c r="H851">
        <v>887.4</v>
      </c>
      <c r="I851">
        <v>222.94</v>
      </c>
      <c r="J851">
        <v>10</v>
      </c>
      <c r="K851" t="s">
        <v>18</v>
      </c>
      <c r="L851" t="s">
        <v>58</v>
      </c>
    </row>
    <row r="852" spans="1:12" x14ac:dyDescent="0.35">
      <c r="A852" t="s">
        <v>1080</v>
      </c>
      <c r="B852" s="4">
        <v>45599</v>
      </c>
      <c r="C852" t="s">
        <v>35</v>
      </c>
      <c r="D852" t="s">
        <v>36</v>
      </c>
      <c r="E852" t="s">
        <v>15</v>
      </c>
      <c r="F852" t="s">
        <v>30</v>
      </c>
      <c r="G852" t="s">
        <v>236</v>
      </c>
      <c r="H852">
        <v>885.67</v>
      </c>
      <c r="I852">
        <v>201.72</v>
      </c>
      <c r="J852">
        <v>3</v>
      </c>
      <c r="K852" t="s">
        <v>26</v>
      </c>
      <c r="L852" t="s">
        <v>33</v>
      </c>
    </row>
    <row r="853" spans="1:12" x14ac:dyDescent="0.35">
      <c r="A853" t="s">
        <v>91</v>
      </c>
      <c r="B853" s="4">
        <v>45359</v>
      </c>
      <c r="C853" t="s">
        <v>35</v>
      </c>
      <c r="D853" t="s">
        <v>39</v>
      </c>
      <c r="E853" t="s">
        <v>23</v>
      </c>
      <c r="F853" t="s">
        <v>92</v>
      </c>
      <c r="G853" t="s">
        <v>93</v>
      </c>
      <c r="H853">
        <v>881.88</v>
      </c>
      <c r="I853">
        <v>178.72</v>
      </c>
      <c r="J853">
        <v>1</v>
      </c>
      <c r="K853" t="s">
        <v>26</v>
      </c>
      <c r="L853" t="s">
        <v>19</v>
      </c>
    </row>
    <row r="854" spans="1:12" x14ac:dyDescent="0.35">
      <c r="A854" t="s">
        <v>378</v>
      </c>
      <c r="B854" s="4">
        <v>45588</v>
      </c>
      <c r="C854" t="s">
        <v>13</v>
      </c>
      <c r="D854" t="s">
        <v>29</v>
      </c>
      <c r="E854" t="s">
        <v>15</v>
      </c>
      <c r="F854" t="s">
        <v>30</v>
      </c>
      <c r="G854" t="s">
        <v>379</v>
      </c>
      <c r="H854">
        <v>880.22</v>
      </c>
      <c r="I854">
        <v>149.84</v>
      </c>
      <c r="J854">
        <v>4</v>
      </c>
      <c r="K854" t="s">
        <v>32</v>
      </c>
      <c r="L854" t="s">
        <v>42</v>
      </c>
    </row>
    <row r="855" spans="1:12" x14ac:dyDescent="0.35">
      <c r="A855" t="s">
        <v>170</v>
      </c>
      <c r="B855" s="4">
        <v>45567</v>
      </c>
      <c r="C855" t="s">
        <v>13</v>
      </c>
      <c r="D855" t="s">
        <v>82</v>
      </c>
      <c r="E855" t="s">
        <v>51</v>
      </c>
      <c r="F855" t="s">
        <v>74</v>
      </c>
      <c r="G855" t="s">
        <v>171</v>
      </c>
      <c r="H855">
        <v>864.23</v>
      </c>
      <c r="I855">
        <v>234.55</v>
      </c>
      <c r="J855">
        <v>3</v>
      </c>
      <c r="K855" t="s">
        <v>32</v>
      </c>
      <c r="L855" t="s">
        <v>42</v>
      </c>
    </row>
    <row r="856" spans="1:12" x14ac:dyDescent="0.35">
      <c r="A856" t="s">
        <v>384</v>
      </c>
      <c r="B856" s="4">
        <v>45594</v>
      </c>
      <c r="C856" t="s">
        <v>21</v>
      </c>
      <c r="D856" t="s">
        <v>22</v>
      </c>
      <c r="E856" t="s">
        <v>51</v>
      </c>
      <c r="F856" t="s">
        <v>52</v>
      </c>
      <c r="G856" t="s">
        <v>385</v>
      </c>
      <c r="H856">
        <v>862.92</v>
      </c>
      <c r="I856">
        <v>272.12</v>
      </c>
      <c r="J856">
        <v>1</v>
      </c>
      <c r="K856" t="s">
        <v>26</v>
      </c>
      <c r="L856" t="s">
        <v>78</v>
      </c>
    </row>
    <row r="857" spans="1:12" x14ac:dyDescent="0.35">
      <c r="A857" t="s">
        <v>743</v>
      </c>
      <c r="B857" s="4">
        <v>45303</v>
      </c>
      <c r="C857" t="s">
        <v>21</v>
      </c>
      <c r="D857" t="s">
        <v>65</v>
      </c>
      <c r="E857" t="s">
        <v>15</v>
      </c>
      <c r="F857" t="s">
        <v>30</v>
      </c>
      <c r="G857" t="s">
        <v>72</v>
      </c>
      <c r="H857">
        <v>834.12</v>
      </c>
      <c r="I857">
        <v>76.430000000000007</v>
      </c>
      <c r="J857">
        <v>10</v>
      </c>
      <c r="K857" t="s">
        <v>18</v>
      </c>
      <c r="L857" t="s">
        <v>58</v>
      </c>
    </row>
    <row r="858" spans="1:12" x14ac:dyDescent="0.35">
      <c r="A858" t="s">
        <v>139</v>
      </c>
      <c r="B858" s="4">
        <v>45604</v>
      </c>
      <c r="C858" t="s">
        <v>21</v>
      </c>
      <c r="D858" t="s">
        <v>134</v>
      </c>
      <c r="E858" t="s">
        <v>51</v>
      </c>
      <c r="F858" t="s">
        <v>52</v>
      </c>
      <c r="G858" t="s">
        <v>140</v>
      </c>
      <c r="H858">
        <v>831.46</v>
      </c>
      <c r="I858">
        <v>150.6</v>
      </c>
      <c r="J858">
        <v>7</v>
      </c>
      <c r="K858" t="s">
        <v>18</v>
      </c>
      <c r="L858" t="s">
        <v>19</v>
      </c>
    </row>
    <row r="859" spans="1:12" x14ac:dyDescent="0.35">
      <c r="A859" t="s">
        <v>613</v>
      </c>
      <c r="B859" s="4">
        <v>45319</v>
      </c>
      <c r="C859" t="s">
        <v>21</v>
      </c>
      <c r="D859" t="s">
        <v>134</v>
      </c>
      <c r="E859" t="s">
        <v>51</v>
      </c>
      <c r="F859" t="s">
        <v>52</v>
      </c>
      <c r="G859" t="s">
        <v>422</v>
      </c>
      <c r="H859">
        <v>830.62</v>
      </c>
      <c r="I859">
        <v>205.73</v>
      </c>
      <c r="J859">
        <v>3</v>
      </c>
      <c r="K859" t="s">
        <v>26</v>
      </c>
      <c r="L859" t="s">
        <v>58</v>
      </c>
    </row>
    <row r="860" spans="1:12" x14ac:dyDescent="0.35">
      <c r="A860" t="s">
        <v>1038</v>
      </c>
      <c r="B860" s="4">
        <v>45377</v>
      </c>
      <c r="C860" t="s">
        <v>13</v>
      </c>
      <c r="D860" t="s">
        <v>82</v>
      </c>
      <c r="E860" t="s">
        <v>23</v>
      </c>
      <c r="F860" t="s">
        <v>92</v>
      </c>
      <c r="G860" t="s">
        <v>482</v>
      </c>
      <c r="H860">
        <v>828.1</v>
      </c>
      <c r="I860">
        <v>52.9</v>
      </c>
      <c r="J860">
        <v>2</v>
      </c>
      <c r="K860" t="s">
        <v>32</v>
      </c>
      <c r="L860" t="s">
        <v>27</v>
      </c>
    </row>
    <row r="861" spans="1:12" x14ac:dyDescent="0.35">
      <c r="A861" t="s">
        <v>317</v>
      </c>
      <c r="B861" s="4">
        <v>45417</v>
      </c>
      <c r="C861" t="s">
        <v>35</v>
      </c>
      <c r="D861" t="s">
        <v>39</v>
      </c>
      <c r="E861" t="s">
        <v>23</v>
      </c>
      <c r="F861" t="s">
        <v>24</v>
      </c>
      <c r="G861" t="s">
        <v>318</v>
      </c>
      <c r="H861">
        <v>817.93</v>
      </c>
      <c r="I861">
        <v>61.68</v>
      </c>
      <c r="J861">
        <v>9</v>
      </c>
      <c r="K861" t="s">
        <v>26</v>
      </c>
      <c r="L861" t="s">
        <v>42</v>
      </c>
    </row>
    <row r="862" spans="1:12" x14ac:dyDescent="0.35">
      <c r="A862" t="s">
        <v>1195</v>
      </c>
      <c r="B862" s="4">
        <v>45488</v>
      </c>
      <c r="C862" t="s">
        <v>46</v>
      </c>
      <c r="D862" t="s">
        <v>56</v>
      </c>
      <c r="E862" t="s">
        <v>23</v>
      </c>
      <c r="F862" t="s">
        <v>69</v>
      </c>
      <c r="G862" t="s">
        <v>70</v>
      </c>
      <c r="H862">
        <v>810.35</v>
      </c>
      <c r="I862">
        <v>222.9</v>
      </c>
      <c r="J862">
        <v>6</v>
      </c>
      <c r="K862" t="s">
        <v>32</v>
      </c>
      <c r="L862" t="s">
        <v>58</v>
      </c>
    </row>
    <row r="863" spans="1:12" x14ac:dyDescent="0.35">
      <c r="A863" t="s">
        <v>1073</v>
      </c>
      <c r="B863" s="4">
        <v>45379</v>
      </c>
      <c r="C863" t="s">
        <v>35</v>
      </c>
      <c r="D863" t="s">
        <v>36</v>
      </c>
      <c r="E863" t="s">
        <v>23</v>
      </c>
      <c r="F863" t="s">
        <v>24</v>
      </c>
      <c r="G863" t="s">
        <v>507</v>
      </c>
      <c r="H863">
        <v>794.45</v>
      </c>
      <c r="I863">
        <v>254.29</v>
      </c>
      <c r="J863">
        <v>7</v>
      </c>
      <c r="K863" t="s">
        <v>18</v>
      </c>
      <c r="L863" t="s">
        <v>19</v>
      </c>
    </row>
    <row r="864" spans="1:12" x14ac:dyDescent="0.35">
      <c r="A864" t="s">
        <v>516</v>
      </c>
      <c r="B864" s="4">
        <v>45298</v>
      </c>
      <c r="C864" t="s">
        <v>13</v>
      </c>
      <c r="D864" t="s">
        <v>14</v>
      </c>
      <c r="E864" t="s">
        <v>23</v>
      </c>
      <c r="F864" t="s">
        <v>69</v>
      </c>
      <c r="G864" t="s">
        <v>167</v>
      </c>
      <c r="H864">
        <v>784.97</v>
      </c>
      <c r="I864">
        <v>175.08</v>
      </c>
      <c r="J864">
        <v>2</v>
      </c>
      <c r="K864" t="s">
        <v>26</v>
      </c>
      <c r="L864" t="s">
        <v>42</v>
      </c>
    </row>
    <row r="865" spans="1:12" x14ac:dyDescent="0.35">
      <c r="A865" t="s">
        <v>1131</v>
      </c>
      <c r="B865" s="4">
        <v>45347</v>
      </c>
      <c r="C865" t="s">
        <v>35</v>
      </c>
      <c r="D865" t="s">
        <v>36</v>
      </c>
      <c r="E865" t="s">
        <v>51</v>
      </c>
      <c r="F865" t="s">
        <v>74</v>
      </c>
      <c r="G865" t="s">
        <v>305</v>
      </c>
      <c r="H865">
        <v>784.51</v>
      </c>
      <c r="I865">
        <v>144.44999999999999</v>
      </c>
      <c r="J865">
        <v>4</v>
      </c>
      <c r="K865" t="s">
        <v>32</v>
      </c>
      <c r="L865" t="s">
        <v>33</v>
      </c>
    </row>
    <row r="866" spans="1:12" x14ac:dyDescent="0.35">
      <c r="A866" t="s">
        <v>821</v>
      </c>
      <c r="B866" s="4">
        <v>45384</v>
      </c>
      <c r="C866" t="s">
        <v>35</v>
      </c>
      <c r="D866" t="s">
        <v>39</v>
      </c>
      <c r="E866" t="s">
        <v>15</v>
      </c>
      <c r="F866" t="s">
        <v>16</v>
      </c>
      <c r="G866" t="s">
        <v>136</v>
      </c>
      <c r="H866">
        <v>782.25</v>
      </c>
      <c r="I866">
        <v>205.38</v>
      </c>
      <c r="J866">
        <v>10</v>
      </c>
      <c r="K866" t="s">
        <v>32</v>
      </c>
      <c r="L866" t="s">
        <v>27</v>
      </c>
    </row>
    <row r="867" spans="1:12" x14ac:dyDescent="0.35">
      <c r="A867" t="s">
        <v>581</v>
      </c>
      <c r="B867" s="4">
        <v>45379</v>
      </c>
      <c r="C867" t="s">
        <v>21</v>
      </c>
      <c r="D867" t="s">
        <v>65</v>
      </c>
      <c r="E867" t="s">
        <v>15</v>
      </c>
      <c r="F867" t="s">
        <v>30</v>
      </c>
      <c r="G867" t="s">
        <v>322</v>
      </c>
      <c r="H867">
        <v>775.65</v>
      </c>
      <c r="I867">
        <v>171.32</v>
      </c>
      <c r="J867">
        <v>5</v>
      </c>
      <c r="K867" t="s">
        <v>32</v>
      </c>
      <c r="L867" t="s">
        <v>27</v>
      </c>
    </row>
    <row r="868" spans="1:12" x14ac:dyDescent="0.35">
      <c r="A868" t="s">
        <v>222</v>
      </c>
      <c r="B868" s="4">
        <v>45292</v>
      </c>
      <c r="C868" t="s">
        <v>46</v>
      </c>
      <c r="D868" t="s">
        <v>47</v>
      </c>
      <c r="E868" t="s">
        <v>23</v>
      </c>
      <c r="F868" t="s">
        <v>92</v>
      </c>
      <c r="G868" t="s">
        <v>100</v>
      </c>
      <c r="H868">
        <v>775.14</v>
      </c>
      <c r="I868">
        <v>175.25</v>
      </c>
      <c r="J868">
        <v>9</v>
      </c>
      <c r="K868" t="s">
        <v>32</v>
      </c>
      <c r="L868" t="s">
        <v>78</v>
      </c>
    </row>
    <row r="869" spans="1:12" x14ac:dyDescent="0.35">
      <c r="A869" t="s">
        <v>584</v>
      </c>
      <c r="B869" s="4">
        <v>45487</v>
      </c>
      <c r="C869" t="s">
        <v>46</v>
      </c>
      <c r="D869" t="s">
        <v>56</v>
      </c>
      <c r="E869" t="s">
        <v>23</v>
      </c>
      <c r="F869" t="s">
        <v>69</v>
      </c>
      <c r="G869" t="s">
        <v>365</v>
      </c>
      <c r="H869">
        <v>773.02</v>
      </c>
      <c r="I869">
        <v>201.46</v>
      </c>
      <c r="J869">
        <v>6</v>
      </c>
      <c r="K869" t="s">
        <v>18</v>
      </c>
      <c r="L869" t="s">
        <v>33</v>
      </c>
    </row>
    <row r="870" spans="1:12" x14ac:dyDescent="0.35">
      <c r="A870" t="s">
        <v>433</v>
      </c>
      <c r="B870" s="4">
        <v>45646</v>
      </c>
      <c r="C870" t="s">
        <v>46</v>
      </c>
      <c r="D870" t="s">
        <v>56</v>
      </c>
      <c r="E870" t="s">
        <v>51</v>
      </c>
      <c r="F870" t="s">
        <v>66</v>
      </c>
      <c r="G870" t="s">
        <v>96</v>
      </c>
      <c r="H870">
        <v>767.59</v>
      </c>
      <c r="I870">
        <v>128.41999999999999</v>
      </c>
      <c r="J870">
        <v>2</v>
      </c>
      <c r="K870" t="s">
        <v>18</v>
      </c>
      <c r="L870" t="s">
        <v>54</v>
      </c>
    </row>
    <row r="871" spans="1:12" x14ac:dyDescent="0.35">
      <c r="A871" t="s">
        <v>832</v>
      </c>
      <c r="B871" s="4">
        <v>45474</v>
      </c>
      <c r="C871" t="s">
        <v>46</v>
      </c>
      <c r="D871" t="s">
        <v>89</v>
      </c>
      <c r="E871" t="s">
        <v>15</v>
      </c>
      <c r="F871" t="s">
        <v>30</v>
      </c>
      <c r="G871" t="s">
        <v>83</v>
      </c>
      <c r="H871">
        <v>767.48</v>
      </c>
      <c r="I871">
        <v>239.38</v>
      </c>
      <c r="J871">
        <v>7</v>
      </c>
      <c r="K871" t="s">
        <v>18</v>
      </c>
      <c r="L871" t="s">
        <v>42</v>
      </c>
    </row>
    <row r="872" spans="1:12" x14ac:dyDescent="0.35">
      <c r="A872" t="s">
        <v>12</v>
      </c>
      <c r="B872" s="4">
        <v>45393</v>
      </c>
      <c r="C872" t="s">
        <v>13</v>
      </c>
      <c r="D872" t="s">
        <v>14</v>
      </c>
      <c r="E872" t="s">
        <v>15</v>
      </c>
      <c r="F872" t="s">
        <v>16</v>
      </c>
      <c r="G872" t="s">
        <v>17</v>
      </c>
      <c r="H872">
        <v>766.59</v>
      </c>
      <c r="I872">
        <v>198.59</v>
      </c>
      <c r="J872">
        <v>8</v>
      </c>
      <c r="K872" t="s">
        <v>18</v>
      </c>
      <c r="L872" t="s">
        <v>19</v>
      </c>
    </row>
    <row r="873" spans="1:12" x14ac:dyDescent="0.35">
      <c r="A873" t="s">
        <v>542</v>
      </c>
      <c r="B873" s="4">
        <v>45357</v>
      </c>
      <c r="C873" t="s">
        <v>35</v>
      </c>
      <c r="D873" t="s">
        <v>39</v>
      </c>
      <c r="E873" t="s">
        <v>51</v>
      </c>
      <c r="F873" t="s">
        <v>52</v>
      </c>
      <c r="G873" t="s">
        <v>119</v>
      </c>
      <c r="H873">
        <v>760.84</v>
      </c>
      <c r="I873">
        <v>77.95</v>
      </c>
      <c r="J873">
        <v>10</v>
      </c>
      <c r="K873" t="s">
        <v>26</v>
      </c>
      <c r="L873" t="s">
        <v>33</v>
      </c>
    </row>
    <row r="874" spans="1:12" x14ac:dyDescent="0.35">
      <c r="A874" t="s">
        <v>801</v>
      </c>
      <c r="B874" s="4">
        <v>45481</v>
      </c>
      <c r="C874" t="s">
        <v>13</v>
      </c>
      <c r="D874" t="s">
        <v>14</v>
      </c>
      <c r="E874" t="s">
        <v>23</v>
      </c>
      <c r="F874" t="s">
        <v>69</v>
      </c>
      <c r="G874" t="s">
        <v>365</v>
      </c>
      <c r="H874">
        <v>760.75</v>
      </c>
      <c r="I874">
        <v>60.06</v>
      </c>
      <c r="J874">
        <v>10</v>
      </c>
      <c r="K874" t="s">
        <v>18</v>
      </c>
      <c r="L874" t="s">
        <v>33</v>
      </c>
    </row>
    <row r="875" spans="1:12" x14ac:dyDescent="0.35">
      <c r="A875" t="s">
        <v>770</v>
      </c>
      <c r="B875" s="4">
        <v>45536</v>
      </c>
      <c r="C875" t="s">
        <v>13</v>
      </c>
      <c r="D875" t="s">
        <v>14</v>
      </c>
      <c r="E875" t="s">
        <v>15</v>
      </c>
      <c r="F875" t="s">
        <v>30</v>
      </c>
      <c r="G875" t="s">
        <v>379</v>
      </c>
      <c r="H875">
        <v>753.7</v>
      </c>
      <c r="I875">
        <v>112.24</v>
      </c>
      <c r="J875">
        <v>1</v>
      </c>
      <c r="K875" t="s">
        <v>18</v>
      </c>
      <c r="L875" t="s">
        <v>33</v>
      </c>
    </row>
    <row r="876" spans="1:12" x14ac:dyDescent="0.35">
      <c r="A876" t="s">
        <v>348</v>
      </c>
      <c r="B876" s="4">
        <v>45453</v>
      </c>
      <c r="C876" t="s">
        <v>35</v>
      </c>
      <c r="D876" t="s">
        <v>36</v>
      </c>
      <c r="E876" t="s">
        <v>23</v>
      </c>
      <c r="F876" t="s">
        <v>69</v>
      </c>
      <c r="G876" t="s">
        <v>349</v>
      </c>
      <c r="H876">
        <v>743.2</v>
      </c>
      <c r="I876">
        <v>106.91</v>
      </c>
      <c r="J876">
        <v>2</v>
      </c>
      <c r="K876" t="s">
        <v>32</v>
      </c>
      <c r="L876" t="s">
        <v>19</v>
      </c>
    </row>
    <row r="877" spans="1:12" x14ac:dyDescent="0.35">
      <c r="A877" t="s">
        <v>1122</v>
      </c>
      <c r="B877" s="4">
        <v>45521</v>
      </c>
      <c r="C877" t="s">
        <v>35</v>
      </c>
      <c r="D877" t="s">
        <v>36</v>
      </c>
      <c r="E877" t="s">
        <v>51</v>
      </c>
      <c r="F877" t="s">
        <v>52</v>
      </c>
      <c r="G877" t="s">
        <v>121</v>
      </c>
      <c r="H877">
        <v>728.78</v>
      </c>
      <c r="I877">
        <v>80.349999999999994</v>
      </c>
      <c r="J877">
        <v>3</v>
      </c>
      <c r="K877" t="s">
        <v>26</v>
      </c>
      <c r="L877" t="s">
        <v>61</v>
      </c>
    </row>
    <row r="878" spans="1:12" x14ac:dyDescent="0.35">
      <c r="A878" t="s">
        <v>372</v>
      </c>
      <c r="B878" s="4">
        <v>45547</v>
      </c>
      <c r="C878" t="s">
        <v>21</v>
      </c>
      <c r="D878" t="s">
        <v>65</v>
      </c>
      <c r="E878" t="s">
        <v>51</v>
      </c>
      <c r="F878" t="s">
        <v>74</v>
      </c>
      <c r="G878" t="s">
        <v>373</v>
      </c>
      <c r="H878">
        <v>728.56</v>
      </c>
      <c r="I878">
        <v>108.63</v>
      </c>
      <c r="J878">
        <v>10</v>
      </c>
      <c r="K878" t="s">
        <v>18</v>
      </c>
      <c r="L878" t="s">
        <v>42</v>
      </c>
    </row>
    <row r="879" spans="1:12" x14ac:dyDescent="0.35">
      <c r="A879" t="s">
        <v>827</v>
      </c>
      <c r="B879" s="4">
        <v>45442</v>
      </c>
      <c r="C879" t="s">
        <v>35</v>
      </c>
      <c r="D879" t="s">
        <v>50</v>
      </c>
      <c r="E879" t="s">
        <v>15</v>
      </c>
      <c r="F879" t="s">
        <v>30</v>
      </c>
      <c r="G879" t="s">
        <v>37</v>
      </c>
      <c r="H879">
        <v>725.54</v>
      </c>
      <c r="I879">
        <v>217.64</v>
      </c>
      <c r="J879">
        <v>3</v>
      </c>
      <c r="K879" t="s">
        <v>18</v>
      </c>
      <c r="L879" t="s">
        <v>19</v>
      </c>
    </row>
    <row r="880" spans="1:12" x14ac:dyDescent="0.35">
      <c r="A880" t="s">
        <v>439</v>
      </c>
      <c r="B880" s="4">
        <v>45627</v>
      </c>
      <c r="C880" t="s">
        <v>35</v>
      </c>
      <c r="D880" t="s">
        <v>39</v>
      </c>
      <c r="E880" t="s">
        <v>23</v>
      </c>
      <c r="F880" t="s">
        <v>69</v>
      </c>
      <c r="G880" t="s">
        <v>147</v>
      </c>
      <c r="H880">
        <v>715.88</v>
      </c>
      <c r="I880">
        <v>87.32</v>
      </c>
      <c r="J880">
        <v>4</v>
      </c>
      <c r="K880" t="s">
        <v>18</v>
      </c>
      <c r="L880" t="s">
        <v>58</v>
      </c>
    </row>
    <row r="881" spans="1:12" x14ac:dyDescent="0.35">
      <c r="A881" t="s">
        <v>869</v>
      </c>
      <c r="B881" s="4">
        <v>45651</v>
      </c>
      <c r="C881" t="s">
        <v>21</v>
      </c>
      <c r="D881" t="s">
        <v>65</v>
      </c>
      <c r="E881" t="s">
        <v>15</v>
      </c>
      <c r="F881" t="s">
        <v>30</v>
      </c>
      <c r="G881" t="s">
        <v>777</v>
      </c>
      <c r="H881">
        <v>715.19</v>
      </c>
      <c r="I881">
        <v>85.82</v>
      </c>
      <c r="J881">
        <v>6</v>
      </c>
      <c r="K881" t="s">
        <v>18</v>
      </c>
      <c r="L881" t="s">
        <v>58</v>
      </c>
    </row>
    <row r="882" spans="1:12" x14ac:dyDescent="0.35">
      <c r="A882" t="s">
        <v>950</v>
      </c>
      <c r="B882" s="4">
        <v>45567</v>
      </c>
      <c r="C882" t="s">
        <v>13</v>
      </c>
      <c r="D882" t="s">
        <v>14</v>
      </c>
      <c r="E882" t="s">
        <v>51</v>
      </c>
      <c r="F882" t="s">
        <v>52</v>
      </c>
      <c r="G882" t="s">
        <v>941</v>
      </c>
      <c r="H882">
        <v>712.51</v>
      </c>
      <c r="I882">
        <v>91.55</v>
      </c>
      <c r="J882">
        <v>7</v>
      </c>
      <c r="K882" t="s">
        <v>26</v>
      </c>
      <c r="L882" t="s">
        <v>58</v>
      </c>
    </row>
    <row r="883" spans="1:12" x14ac:dyDescent="0.35">
      <c r="A883" t="s">
        <v>1193</v>
      </c>
      <c r="B883" s="4">
        <v>45357</v>
      </c>
      <c r="C883" t="s">
        <v>13</v>
      </c>
      <c r="D883" t="s">
        <v>29</v>
      </c>
      <c r="E883" t="s">
        <v>23</v>
      </c>
      <c r="F883" t="s">
        <v>92</v>
      </c>
      <c r="G883" t="s">
        <v>262</v>
      </c>
      <c r="H883">
        <v>699.52</v>
      </c>
      <c r="I883">
        <v>87.45</v>
      </c>
      <c r="J883">
        <v>3</v>
      </c>
      <c r="K883" t="s">
        <v>32</v>
      </c>
      <c r="L883" t="s">
        <v>33</v>
      </c>
    </row>
    <row r="884" spans="1:12" x14ac:dyDescent="0.35">
      <c r="A884" t="s">
        <v>996</v>
      </c>
      <c r="B884" s="4">
        <v>45531</v>
      </c>
      <c r="C884" t="s">
        <v>46</v>
      </c>
      <c r="D884" t="s">
        <v>89</v>
      </c>
      <c r="E884" t="s">
        <v>51</v>
      </c>
      <c r="F884" t="s">
        <v>52</v>
      </c>
      <c r="G884" t="s">
        <v>499</v>
      </c>
      <c r="H884">
        <v>698.83</v>
      </c>
      <c r="I884">
        <v>203.37</v>
      </c>
      <c r="J884">
        <v>4</v>
      </c>
      <c r="K884" t="s">
        <v>26</v>
      </c>
      <c r="L884" t="s">
        <v>58</v>
      </c>
    </row>
    <row r="885" spans="1:12" x14ac:dyDescent="0.35">
      <c r="A885" t="s">
        <v>731</v>
      </c>
      <c r="B885" s="4">
        <v>45495</v>
      </c>
      <c r="C885" t="s">
        <v>13</v>
      </c>
      <c r="D885" t="s">
        <v>82</v>
      </c>
      <c r="E885" t="s">
        <v>51</v>
      </c>
      <c r="F885" t="s">
        <v>66</v>
      </c>
      <c r="G885" t="s">
        <v>224</v>
      </c>
      <c r="H885">
        <v>698.26</v>
      </c>
      <c r="I885">
        <v>86.61</v>
      </c>
      <c r="J885">
        <v>10</v>
      </c>
      <c r="K885" t="s">
        <v>26</v>
      </c>
      <c r="L885" t="s">
        <v>61</v>
      </c>
    </row>
    <row r="886" spans="1:12" x14ac:dyDescent="0.35">
      <c r="A886" t="s">
        <v>1097</v>
      </c>
      <c r="B886" s="4">
        <v>45305</v>
      </c>
      <c r="C886" t="s">
        <v>46</v>
      </c>
      <c r="D886" t="s">
        <v>47</v>
      </c>
      <c r="E886" t="s">
        <v>15</v>
      </c>
      <c r="F886" t="s">
        <v>40</v>
      </c>
      <c r="G886" t="s">
        <v>672</v>
      </c>
      <c r="H886">
        <v>698.07</v>
      </c>
      <c r="I886">
        <v>208.08</v>
      </c>
      <c r="J886">
        <v>3</v>
      </c>
      <c r="K886" t="s">
        <v>18</v>
      </c>
      <c r="L886" t="s">
        <v>33</v>
      </c>
    </row>
    <row r="887" spans="1:12" x14ac:dyDescent="0.35">
      <c r="A887" t="s">
        <v>113</v>
      </c>
      <c r="B887" s="4">
        <v>45628</v>
      </c>
      <c r="C887" t="s">
        <v>46</v>
      </c>
      <c r="D887" t="s">
        <v>56</v>
      </c>
      <c r="E887" t="s">
        <v>23</v>
      </c>
      <c r="F887" t="s">
        <v>69</v>
      </c>
      <c r="G887" t="s">
        <v>98</v>
      </c>
      <c r="H887">
        <v>690.92</v>
      </c>
      <c r="I887">
        <v>184.95</v>
      </c>
      <c r="J887">
        <v>1</v>
      </c>
      <c r="K887" t="s">
        <v>18</v>
      </c>
      <c r="L887" t="s">
        <v>42</v>
      </c>
    </row>
    <row r="888" spans="1:12" x14ac:dyDescent="0.35">
      <c r="A888" t="s">
        <v>1060</v>
      </c>
      <c r="B888" s="4">
        <v>45390</v>
      </c>
      <c r="C888" t="s">
        <v>13</v>
      </c>
      <c r="D888" t="s">
        <v>82</v>
      </c>
      <c r="E888" t="s">
        <v>51</v>
      </c>
      <c r="F888" t="s">
        <v>66</v>
      </c>
      <c r="G888" t="s">
        <v>864</v>
      </c>
      <c r="H888">
        <v>690.29</v>
      </c>
      <c r="I888">
        <v>164.22</v>
      </c>
      <c r="J888">
        <v>5</v>
      </c>
      <c r="K888" t="s">
        <v>32</v>
      </c>
      <c r="L888" t="s">
        <v>33</v>
      </c>
    </row>
    <row r="889" spans="1:12" x14ac:dyDescent="0.35">
      <c r="A889" t="s">
        <v>350</v>
      </c>
      <c r="B889" s="4">
        <v>45514</v>
      </c>
      <c r="C889" t="s">
        <v>21</v>
      </c>
      <c r="D889" t="s">
        <v>65</v>
      </c>
      <c r="E889" t="s">
        <v>51</v>
      </c>
      <c r="F889" t="s">
        <v>66</v>
      </c>
      <c r="G889" t="s">
        <v>351</v>
      </c>
      <c r="H889">
        <v>690.06</v>
      </c>
      <c r="I889">
        <v>95.91</v>
      </c>
      <c r="J889">
        <v>6</v>
      </c>
      <c r="K889" t="s">
        <v>26</v>
      </c>
      <c r="L889" t="s">
        <v>27</v>
      </c>
    </row>
    <row r="890" spans="1:12" x14ac:dyDescent="0.35">
      <c r="A890" t="s">
        <v>840</v>
      </c>
      <c r="B890" s="4">
        <v>45581</v>
      </c>
      <c r="C890" t="s">
        <v>21</v>
      </c>
      <c r="D890" t="s">
        <v>134</v>
      </c>
      <c r="E890" t="s">
        <v>15</v>
      </c>
      <c r="F890" t="s">
        <v>40</v>
      </c>
      <c r="G890" t="s">
        <v>163</v>
      </c>
      <c r="H890">
        <v>688.61</v>
      </c>
      <c r="I890">
        <v>126.81</v>
      </c>
      <c r="J890">
        <v>6</v>
      </c>
      <c r="K890" t="s">
        <v>26</v>
      </c>
      <c r="L890" t="s">
        <v>19</v>
      </c>
    </row>
    <row r="891" spans="1:12" x14ac:dyDescent="0.35">
      <c r="A891" t="s">
        <v>131</v>
      </c>
      <c r="B891" s="4">
        <v>45641</v>
      </c>
      <c r="C891" t="s">
        <v>46</v>
      </c>
      <c r="D891" t="s">
        <v>56</v>
      </c>
      <c r="E891" t="s">
        <v>51</v>
      </c>
      <c r="F891" t="s">
        <v>74</v>
      </c>
      <c r="G891" t="s">
        <v>132</v>
      </c>
      <c r="H891">
        <v>686.01</v>
      </c>
      <c r="I891">
        <v>171.16</v>
      </c>
      <c r="J891">
        <v>10</v>
      </c>
      <c r="K891" t="s">
        <v>32</v>
      </c>
      <c r="L891" t="s">
        <v>42</v>
      </c>
    </row>
    <row r="892" spans="1:12" x14ac:dyDescent="0.35">
      <c r="A892" t="s">
        <v>1051</v>
      </c>
      <c r="B892" s="4">
        <v>45511</v>
      </c>
      <c r="C892" t="s">
        <v>21</v>
      </c>
      <c r="D892" t="s">
        <v>134</v>
      </c>
      <c r="E892" t="s">
        <v>23</v>
      </c>
      <c r="F892" t="s">
        <v>24</v>
      </c>
      <c r="G892" t="s">
        <v>169</v>
      </c>
      <c r="H892">
        <v>682.98</v>
      </c>
      <c r="I892">
        <v>210.75</v>
      </c>
      <c r="J892">
        <v>6</v>
      </c>
      <c r="K892" t="s">
        <v>32</v>
      </c>
      <c r="L892" t="s">
        <v>33</v>
      </c>
    </row>
    <row r="893" spans="1:12" x14ac:dyDescent="0.35">
      <c r="A893" t="s">
        <v>736</v>
      </c>
      <c r="B893" s="4">
        <v>45394</v>
      </c>
      <c r="C893" t="s">
        <v>35</v>
      </c>
      <c r="D893" t="s">
        <v>36</v>
      </c>
      <c r="E893" t="s">
        <v>51</v>
      </c>
      <c r="F893" t="s">
        <v>66</v>
      </c>
      <c r="G893" t="s">
        <v>737</v>
      </c>
      <c r="H893">
        <v>681.79</v>
      </c>
      <c r="I893">
        <v>235.58</v>
      </c>
      <c r="J893">
        <v>4</v>
      </c>
      <c r="K893" t="s">
        <v>26</v>
      </c>
      <c r="L893" t="s">
        <v>61</v>
      </c>
    </row>
    <row r="894" spans="1:12" x14ac:dyDescent="0.35">
      <c r="A894" t="s">
        <v>708</v>
      </c>
      <c r="B894" s="4">
        <v>45356</v>
      </c>
      <c r="C894" t="s">
        <v>35</v>
      </c>
      <c r="D894" t="s">
        <v>36</v>
      </c>
      <c r="E894" t="s">
        <v>15</v>
      </c>
      <c r="F894" t="s">
        <v>40</v>
      </c>
      <c r="G894" t="s">
        <v>458</v>
      </c>
      <c r="H894">
        <v>677.13</v>
      </c>
      <c r="I894">
        <v>90.68</v>
      </c>
      <c r="J894">
        <v>2</v>
      </c>
      <c r="K894" t="s">
        <v>26</v>
      </c>
      <c r="L894" t="s">
        <v>42</v>
      </c>
    </row>
    <row r="895" spans="1:12" x14ac:dyDescent="0.35">
      <c r="A895" t="s">
        <v>570</v>
      </c>
      <c r="B895" s="4">
        <v>45474</v>
      </c>
      <c r="C895" t="s">
        <v>35</v>
      </c>
      <c r="D895" t="s">
        <v>36</v>
      </c>
      <c r="E895" t="s">
        <v>15</v>
      </c>
      <c r="F895" t="s">
        <v>30</v>
      </c>
      <c r="G895" t="s">
        <v>297</v>
      </c>
      <c r="H895">
        <v>673</v>
      </c>
      <c r="I895">
        <v>185.73</v>
      </c>
      <c r="J895">
        <v>6</v>
      </c>
      <c r="K895" t="s">
        <v>32</v>
      </c>
      <c r="L895" t="s">
        <v>58</v>
      </c>
    </row>
    <row r="896" spans="1:12" x14ac:dyDescent="0.35">
      <c r="A896" t="s">
        <v>807</v>
      </c>
      <c r="B896" s="4">
        <v>45309</v>
      </c>
      <c r="C896" t="s">
        <v>13</v>
      </c>
      <c r="D896" t="s">
        <v>29</v>
      </c>
      <c r="E896" t="s">
        <v>51</v>
      </c>
      <c r="F896" t="s">
        <v>52</v>
      </c>
      <c r="G896" t="s">
        <v>316</v>
      </c>
      <c r="H896">
        <v>664.66</v>
      </c>
      <c r="I896">
        <v>180.67</v>
      </c>
      <c r="J896">
        <v>6</v>
      </c>
      <c r="K896" t="s">
        <v>32</v>
      </c>
      <c r="L896" t="s">
        <v>27</v>
      </c>
    </row>
    <row r="897" spans="1:12" x14ac:dyDescent="0.35">
      <c r="A897" t="s">
        <v>1058</v>
      </c>
      <c r="B897" s="4">
        <v>45337</v>
      </c>
      <c r="C897" t="s">
        <v>13</v>
      </c>
      <c r="D897" t="s">
        <v>29</v>
      </c>
      <c r="E897" t="s">
        <v>15</v>
      </c>
      <c r="F897" t="s">
        <v>30</v>
      </c>
      <c r="G897" t="s">
        <v>335</v>
      </c>
      <c r="H897">
        <v>658.35</v>
      </c>
      <c r="I897">
        <v>80.94</v>
      </c>
      <c r="J897">
        <v>4</v>
      </c>
      <c r="K897" t="s">
        <v>26</v>
      </c>
      <c r="L897" t="s">
        <v>33</v>
      </c>
    </row>
    <row r="898" spans="1:12" x14ac:dyDescent="0.35">
      <c r="A898" t="s">
        <v>664</v>
      </c>
      <c r="B898" s="4">
        <v>45399</v>
      </c>
      <c r="C898" t="s">
        <v>13</v>
      </c>
      <c r="D898" t="s">
        <v>82</v>
      </c>
      <c r="E898" t="s">
        <v>51</v>
      </c>
      <c r="F898" t="s">
        <v>52</v>
      </c>
      <c r="G898" t="s">
        <v>291</v>
      </c>
      <c r="H898">
        <v>657.81</v>
      </c>
      <c r="I898">
        <v>151.01</v>
      </c>
      <c r="J898">
        <v>8</v>
      </c>
      <c r="K898" t="s">
        <v>18</v>
      </c>
      <c r="L898" t="s">
        <v>33</v>
      </c>
    </row>
    <row r="899" spans="1:12" x14ac:dyDescent="0.35">
      <c r="A899" t="s">
        <v>750</v>
      </c>
      <c r="B899" s="4">
        <v>45435</v>
      </c>
      <c r="C899" t="s">
        <v>21</v>
      </c>
      <c r="D899" t="s">
        <v>134</v>
      </c>
      <c r="E899" t="s">
        <v>23</v>
      </c>
      <c r="F899" t="s">
        <v>69</v>
      </c>
      <c r="G899" t="s">
        <v>465</v>
      </c>
      <c r="H899">
        <v>657.13</v>
      </c>
      <c r="I899">
        <v>46</v>
      </c>
      <c r="J899">
        <v>1</v>
      </c>
      <c r="K899" t="s">
        <v>26</v>
      </c>
      <c r="L899" t="s">
        <v>78</v>
      </c>
    </row>
    <row r="900" spans="1:12" x14ac:dyDescent="0.35">
      <c r="A900" t="s">
        <v>786</v>
      </c>
      <c r="B900" s="4">
        <v>45647</v>
      </c>
      <c r="C900" t="s">
        <v>46</v>
      </c>
      <c r="D900" t="s">
        <v>56</v>
      </c>
      <c r="E900" t="s">
        <v>51</v>
      </c>
      <c r="F900" t="s">
        <v>66</v>
      </c>
      <c r="G900" t="s">
        <v>351</v>
      </c>
      <c r="H900">
        <v>654.09</v>
      </c>
      <c r="I900">
        <v>75.7</v>
      </c>
      <c r="J900">
        <v>1</v>
      </c>
      <c r="K900" t="s">
        <v>18</v>
      </c>
      <c r="L900" t="s">
        <v>42</v>
      </c>
    </row>
    <row r="901" spans="1:12" x14ac:dyDescent="0.35">
      <c r="A901" t="s">
        <v>331</v>
      </c>
      <c r="B901" s="4">
        <v>45354</v>
      </c>
      <c r="C901" t="s">
        <v>21</v>
      </c>
      <c r="D901" t="s">
        <v>22</v>
      </c>
      <c r="E901" t="s">
        <v>51</v>
      </c>
      <c r="F901" t="s">
        <v>74</v>
      </c>
      <c r="G901" t="s">
        <v>132</v>
      </c>
      <c r="H901">
        <v>651.54999999999995</v>
      </c>
      <c r="I901">
        <v>109.14</v>
      </c>
      <c r="J901">
        <v>10</v>
      </c>
      <c r="K901" t="s">
        <v>32</v>
      </c>
      <c r="L901" t="s">
        <v>19</v>
      </c>
    </row>
    <row r="902" spans="1:12" x14ac:dyDescent="0.35">
      <c r="A902" t="s">
        <v>880</v>
      </c>
      <c r="B902" s="4">
        <v>45358</v>
      </c>
      <c r="C902" t="s">
        <v>21</v>
      </c>
      <c r="D902" t="s">
        <v>65</v>
      </c>
      <c r="E902" t="s">
        <v>15</v>
      </c>
      <c r="F902" t="s">
        <v>16</v>
      </c>
      <c r="G902" t="s">
        <v>269</v>
      </c>
      <c r="H902">
        <v>650.87</v>
      </c>
      <c r="I902">
        <v>166.69</v>
      </c>
      <c r="J902">
        <v>7</v>
      </c>
      <c r="K902" t="s">
        <v>26</v>
      </c>
      <c r="L902" t="s">
        <v>33</v>
      </c>
    </row>
    <row r="903" spans="1:12" x14ac:dyDescent="0.35">
      <c r="A903" t="s">
        <v>522</v>
      </c>
      <c r="B903" s="4">
        <v>45406</v>
      </c>
      <c r="C903" t="s">
        <v>35</v>
      </c>
      <c r="D903" t="s">
        <v>39</v>
      </c>
      <c r="E903" t="s">
        <v>51</v>
      </c>
      <c r="F903" t="s">
        <v>52</v>
      </c>
      <c r="G903" t="s">
        <v>111</v>
      </c>
      <c r="H903">
        <v>647.48</v>
      </c>
      <c r="I903">
        <v>42.21</v>
      </c>
      <c r="J903">
        <v>3</v>
      </c>
      <c r="K903" t="s">
        <v>18</v>
      </c>
      <c r="L903" t="s">
        <v>27</v>
      </c>
    </row>
    <row r="904" spans="1:12" x14ac:dyDescent="0.35">
      <c r="A904" t="s">
        <v>191</v>
      </c>
      <c r="B904" s="4">
        <v>45646</v>
      </c>
      <c r="C904" t="s">
        <v>46</v>
      </c>
      <c r="D904" t="s">
        <v>47</v>
      </c>
      <c r="E904" t="s">
        <v>15</v>
      </c>
      <c r="F904" t="s">
        <v>16</v>
      </c>
      <c r="G904" t="s">
        <v>136</v>
      </c>
      <c r="H904">
        <v>646.49</v>
      </c>
      <c r="I904">
        <v>110.91</v>
      </c>
      <c r="J904">
        <v>9</v>
      </c>
      <c r="K904" t="s">
        <v>26</v>
      </c>
      <c r="L904" t="s">
        <v>61</v>
      </c>
    </row>
    <row r="905" spans="1:12" x14ac:dyDescent="0.35">
      <c r="A905" t="s">
        <v>314</v>
      </c>
      <c r="B905" s="4">
        <v>45614</v>
      </c>
      <c r="C905" t="s">
        <v>46</v>
      </c>
      <c r="D905" t="s">
        <v>89</v>
      </c>
      <c r="E905" t="s">
        <v>51</v>
      </c>
      <c r="F905" t="s">
        <v>52</v>
      </c>
      <c r="G905" t="s">
        <v>201</v>
      </c>
      <c r="H905">
        <v>644.62</v>
      </c>
      <c r="I905">
        <v>67.83</v>
      </c>
      <c r="J905">
        <v>9</v>
      </c>
      <c r="K905" t="s">
        <v>32</v>
      </c>
      <c r="L905" t="s">
        <v>78</v>
      </c>
    </row>
    <row r="906" spans="1:12" x14ac:dyDescent="0.35">
      <c r="A906" t="s">
        <v>980</v>
      </c>
      <c r="B906" s="4">
        <v>45382</v>
      </c>
      <c r="C906" t="s">
        <v>13</v>
      </c>
      <c r="D906" t="s">
        <v>14</v>
      </c>
      <c r="E906" t="s">
        <v>23</v>
      </c>
      <c r="F906" t="s">
        <v>24</v>
      </c>
      <c r="G906" t="s">
        <v>149</v>
      </c>
      <c r="H906">
        <v>643.85</v>
      </c>
      <c r="I906">
        <v>162.74</v>
      </c>
      <c r="J906">
        <v>8</v>
      </c>
      <c r="K906" t="s">
        <v>26</v>
      </c>
      <c r="L906" t="s">
        <v>58</v>
      </c>
    </row>
    <row r="907" spans="1:12" x14ac:dyDescent="0.35">
      <c r="A907" t="s">
        <v>700</v>
      </c>
      <c r="B907" s="4">
        <v>45313</v>
      </c>
      <c r="C907" t="s">
        <v>21</v>
      </c>
      <c r="D907" t="s">
        <v>134</v>
      </c>
      <c r="E907" t="s">
        <v>23</v>
      </c>
      <c r="F907" t="s">
        <v>69</v>
      </c>
      <c r="G907" t="s">
        <v>519</v>
      </c>
      <c r="H907">
        <v>643.12</v>
      </c>
      <c r="I907">
        <v>85.7</v>
      </c>
      <c r="J907">
        <v>10</v>
      </c>
      <c r="K907" t="s">
        <v>18</v>
      </c>
      <c r="L907" t="s">
        <v>78</v>
      </c>
    </row>
    <row r="908" spans="1:12" x14ac:dyDescent="0.35">
      <c r="A908" t="s">
        <v>118</v>
      </c>
      <c r="B908" s="4">
        <v>45541</v>
      </c>
      <c r="C908" t="s">
        <v>35</v>
      </c>
      <c r="D908" t="s">
        <v>50</v>
      </c>
      <c r="E908" t="s">
        <v>51</v>
      </c>
      <c r="F908" t="s">
        <v>52</v>
      </c>
      <c r="G908" t="s">
        <v>119</v>
      </c>
      <c r="H908">
        <v>637.57000000000005</v>
      </c>
      <c r="I908">
        <v>134.07</v>
      </c>
      <c r="J908">
        <v>8</v>
      </c>
      <c r="K908" t="s">
        <v>26</v>
      </c>
      <c r="L908" t="s">
        <v>58</v>
      </c>
    </row>
    <row r="909" spans="1:12" x14ac:dyDescent="0.35">
      <c r="A909" t="s">
        <v>1028</v>
      </c>
      <c r="B909" s="4">
        <v>45590</v>
      </c>
      <c r="C909" t="s">
        <v>46</v>
      </c>
      <c r="D909" t="s">
        <v>56</v>
      </c>
      <c r="E909" t="s">
        <v>23</v>
      </c>
      <c r="F909" t="s">
        <v>92</v>
      </c>
      <c r="G909" t="s">
        <v>446</v>
      </c>
      <c r="H909">
        <v>634.29999999999995</v>
      </c>
      <c r="I909">
        <v>157.31</v>
      </c>
      <c r="J909">
        <v>2</v>
      </c>
      <c r="K909" t="s">
        <v>32</v>
      </c>
      <c r="L909" t="s">
        <v>78</v>
      </c>
    </row>
    <row r="910" spans="1:12" x14ac:dyDescent="0.35">
      <c r="A910" t="s">
        <v>205</v>
      </c>
      <c r="B910" s="4">
        <v>45319</v>
      </c>
      <c r="C910" t="s">
        <v>13</v>
      </c>
      <c r="D910" t="s">
        <v>29</v>
      </c>
      <c r="E910" t="s">
        <v>51</v>
      </c>
      <c r="F910" t="s">
        <v>66</v>
      </c>
      <c r="G910" t="s">
        <v>206</v>
      </c>
      <c r="H910">
        <v>630.32000000000005</v>
      </c>
      <c r="I910">
        <v>58.69</v>
      </c>
      <c r="J910">
        <v>4</v>
      </c>
      <c r="K910" t="s">
        <v>26</v>
      </c>
      <c r="L910" t="s">
        <v>27</v>
      </c>
    </row>
    <row r="911" spans="1:12" x14ac:dyDescent="0.35">
      <c r="A911" t="s">
        <v>710</v>
      </c>
      <c r="B911" s="4">
        <v>45602</v>
      </c>
      <c r="C911" t="s">
        <v>21</v>
      </c>
      <c r="D911" t="s">
        <v>134</v>
      </c>
      <c r="E911" t="s">
        <v>51</v>
      </c>
      <c r="F911" t="s">
        <v>66</v>
      </c>
      <c r="G911" t="s">
        <v>85</v>
      </c>
      <c r="H911">
        <v>629.16</v>
      </c>
      <c r="I911">
        <v>85.29</v>
      </c>
      <c r="J911">
        <v>1</v>
      </c>
      <c r="K911" t="s">
        <v>18</v>
      </c>
      <c r="L911" t="s">
        <v>54</v>
      </c>
    </row>
    <row r="912" spans="1:12" x14ac:dyDescent="0.35">
      <c r="A912" t="s">
        <v>1154</v>
      </c>
      <c r="B912" s="4">
        <v>45580</v>
      </c>
      <c r="C912" t="s">
        <v>46</v>
      </c>
      <c r="D912" t="s">
        <v>56</v>
      </c>
      <c r="E912" t="s">
        <v>23</v>
      </c>
      <c r="F912" t="s">
        <v>69</v>
      </c>
      <c r="G912" t="s">
        <v>491</v>
      </c>
      <c r="H912">
        <v>627.11</v>
      </c>
      <c r="I912">
        <v>138.03</v>
      </c>
      <c r="J912">
        <v>6</v>
      </c>
      <c r="K912" t="s">
        <v>32</v>
      </c>
      <c r="L912" t="s">
        <v>19</v>
      </c>
    </row>
    <row r="913" spans="1:12" x14ac:dyDescent="0.35">
      <c r="A913" t="s">
        <v>758</v>
      </c>
      <c r="B913" s="4">
        <v>45508</v>
      </c>
      <c r="C913" t="s">
        <v>46</v>
      </c>
      <c r="D913" t="s">
        <v>47</v>
      </c>
      <c r="E913" t="s">
        <v>51</v>
      </c>
      <c r="F913" t="s">
        <v>74</v>
      </c>
      <c r="G913" t="s">
        <v>373</v>
      </c>
      <c r="H913">
        <v>621.55999999999995</v>
      </c>
      <c r="I913">
        <v>71.650000000000006</v>
      </c>
      <c r="J913">
        <v>7</v>
      </c>
      <c r="K913" t="s">
        <v>32</v>
      </c>
      <c r="L913" t="s">
        <v>42</v>
      </c>
    </row>
    <row r="914" spans="1:12" x14ac:dyDescent="0.35">
      <c r="A914" t="s">
        <v>225</v>
      </c>
      <c r="B914" s="4">
        <v>45600</v>
      </c>
      <c r="C914" t="s">
        <v>35</v>
      </c>
      <c r="D914" t="s">
        <v>36</v>
      </c>
      <c r="E914" t="s">
        <v>23</v>
      </c>
      <c r="F914" t="s">
        <v>92</v>
      </c>
      <c r="G914" t="s">
        <v>183</v>
      </c>
      <c r="H914">
        <v>618.51</v>
      </c>
      <c r="I914">
        <v>71.42</v>
      </c>
      <c r="J914">
        <v>4</v>
      </c>
      <c r="K914" t="s">
        <v>32</v>
      </c>
      <c r="L914" t="s">
        <v>33</v>
      </c>
    </row>
    <row r="915" spans="1:12" x14ac:dyDescent="0.35">
      <c r="A915" t="s">
        <v>1144</v>
      </c>
      <c r="B915" s="4">
        <v>45331</v>
      </c>
      <c r="C915" t="s">
        <v>35</v>
      </c>
      <c r="D915" t="s">
        <v>39</v>
      </c>
      <c r="E915" t="s">
        <v>15</v>
      </c>
      <c r="F915" t="s">
        <v>16</v>
      </c>
      <c r="G915" t="s">
        <v>284</v>
      </c>
      <c r="H915">
        <v>618.41</v>
      </c>
      <c r="I915">
        <v>55.27</v>
      </c>
      <c r="J915">
        <v>10</v>
      </c>
      <c r="K915" t="s">
        <v>32</v>
      </c>
      <c r="L915" t="s">
        <v>27</v>
      </c>
    </row>
    <row r="916" spans="1:12" x14ac:dyDescent="0.35">
      <c r="A916" t="s">
        <v>967</v>
      </c>
      <c r="B916" s="4">
        <v>45321</v>
      </c>
      <c r="C916" t="s">
        <v>35</v>
      </c>
      <c r="D916" t="s">
        <v>39</v>
      </c>
      <c r="E916" t="s">
        <v>15</v>
      </c>
      <c r="F916" t="s">
        <v>16</v>
      </c>
      <c r="G916" t="s">
        <v>449</v>
      </c>
      <c r="H916">
        <v>600.02</v>
      </c>
      <c r="I916">
        <v>100.76</v>
      </c>
      <c r="J916">
        <v>10</v>
      </c>
      <c r="K916" t="s">
        <v>26</v>
      </c>
      <c r="L916" t="s">
        <v>33</v>
      </c>
    </row>
    <row r="917" spans="1:12" x14ac:dyDescent="0.35">
      <c r="A917" t="s">
        <v>1113</v>
      </c>
      <c r="B917" s="4">
        <v>45305</v>
      </c>
      <c r="C917" t="s">
        <v>21</v>
      </c>
      <c r="D917" t="s">
        <v>22</v>
      </c>
      <c r="E917" t="s">
        <v>23</v>
      </c>
      <c r="F917" t="s">
        <v>92</v>
      </c>
      <c r="G917" t="s">
        <v>129</v>
      </c>
      <c r="H917">
        <v>591.58000000000004</v>
      </c>
      <c r="I917">
        <v>155.03</v>
      </c>
      <c r="J917">
        <v>1</v>
      </c>
      <c r="K917" t="s">
        <v>26</v>
      </c>
      <c r="L917" t="s">
        <v>42</v>
      </c>
    </row>
    <row r="918" spans="1:12" x14ac:dyDescent="0.35">
      <c r="A918" t="s">
        <v>332</v>
      </c>
      <c r="B918" s="4">
        <v>45577</v>
      </c>
      <c r="C918" t="s">
        <v>46</v>
      </c>
      <c r="D918" t="s">
        <v>47</v>
      </c>
      <c r="E918" t="s">
        <v>23</v>
      </c>
      <c r="F918" t="s">
        <v>92</v>
      </c>
      <c r="G918" t="s">
        <v>333</v>
      </c>
      <c r="H918">
        <v>588.9</v>
      </c>
      <c r="I918">
        <v>90.08</v>
      </c>
      <c r="J918">
        <v>5</v>
      </c>
      <c r="K918" t="s">
        <v>26</v>
      </c>
      <c r="L918" t="s">
        <v>27</v>
      </c>
    </row>
    <row r="919" spans="1:12" x14ac:dyDescent="0.35">
      <c r="A919" t="s">
        <v>815</v>
      </c>
      <c r="B919" s="4">
        <v>45459</v>
      </c>
      <c r="C919" t="s">
        <v>46</v>
      </c>
      <c r="D919" t="s">
        <v>56</v>
      </c>
      <c r="E919" t="s">
        <v>51</v>
      </c>
      <c r="F919" t="s">
        <v>52</v>
      </c>
      <c r="G919" t="s">
        <v>60</v>
      </c>
      <c r="H919">
        <v>588.23</v>
      </c>
      <c r="I919">
        <v>96.93</v>
      </c>
      <c r="J919">
        <v>2</v>
      </c>
      <c r="K919" t="s">
        <v>18</v>
      </c>
      <c r="L919" t="s">
        <v>54</v>
      </c>
    </row>
    <row r="920" spans="1:12" x14ac:dyDescent="0.35">
      <c r="A920" t="s">
        <v>1086</v>
      </c>
      <c r="B920" s="4">
        <v>45452</v>
      </c>
      <c r="C920" t="s">
        <v>13</v>
      </c>
      <c r="D920" t="s">
        <v>14</v>
      </c>
      <c r="E920" t="s">
        <v>51</v>
      </c>
      <c r="F920" t="s">
        <v>74</v>
      </c>
      <c r="G920" t="s">
        <v>210</v>
      </c>
      <c r="H920">
        <v>587.78</v>
      </c>
      <c r="I920">
        <v>34.74</v>
      </c>
      <c r="J920">
        <v>8</v>
      </c>
      <c r="K920" t="s">
        <v>26</v>
      </c>
      <c r="L920" t="s">
        <v>61</v>
      </c>
    </row>
    <row r="921" spans="1:12" x14ac:dyDescent="0.35">
      <c r="A921" t="s">
        <v>931</v>
      </c>
      <c r="B921" s="4">
        <v>45607</v>
      </c>
      <c r="C921" t="s">
        <v>21</v>
      </c>
      <c r="D921" t="s">
        <v>65</v>
      </c>
      <c r="E921" t="s">
        <v>51</v>
      </c>
      <c r="F921" t="s">
        <v>66</v>
      </c>
      <c r="G921" t="s">
        <v>242</v>
      </c>
      <c r="H921">
        <v>587.37</v>
      </c>
      <c r="I921">
        <v>33.65</v>
      </c>
      <c r="J921">
        <v>3</v>
      </c>
      <c r="K921" t="s">
        <v>32</v>
      </c>
      <c r="L921" t="s">
        <v>19</v>
      </c>
    </row>
    <row r="922" spans="1:12" x14ac:dyDescent="0.35">
      <c r="A922" t="s">
        <v>388</v>
      </c>
      <c r="B922" s="4">
        <v>45458</v>
      </c>
      <c r="C922" t="s">
        <v>35</v>
      </c>
      <c r="D922" t="s">
        <v>50</v>
      </c>
      <c r="E922" t="s">
        <v>15</v>
      </c>
      <c r="F922" t="s">
        <v>40</v>
      </c>
      <c r="G922" t="s">
        <v>347</v>
      </c>
      <c r="H922">
        <v>585.80999999999995</v>
      </c>
      <c r="I922">
        <v>171.36</v>
      </c>
      <c r="J922">
        <v>1</v>
      </c>
      <c r="K922" t="s">
        <v>32</v>
      </c>
      <c r="L922" t="s">
        <v>54</v>
      </c>
    </row>
    <row r="923" spans="1:12" x14ac:dyDescent="0.35">
      <c r="A923" t="s">
        <v>674</v>
      </c>
      <c r="B923" s="4">
        <v>45582</v>
      </c>
      <c r="C923" t="s">
        <v>46</v>
      </c>
      <c r="D923" t="s">
        <v>56</v>
      </c>
      <c r="E923" t="s">
        <v>23</v>
      </c>
      <c r="F923" t="s">
        <v>24</v>
      </c>
      <c r="G923" t="s">
        <v>404</v>
      </c>
      <c r="H923">
        <v>585.11</v>
      </c>
      <c r="I923">
        <v>41.76</v>
      </c>
      <c r="J923">
        <v>2</v>
      </c>
      <c r="K923" t="s">
        <v>18</v>
      </c>
      <c r="L923" t="s">
        <v>61</v>
      </c>
    </row>
    <row r="924" spans="1:12" x14ac:dyDescent="0.35">
      <c r="A924" t="s">
        <v>628</v>
      </c>
      <c r="B924" s="4">
        <v>45332</v>
      </c>
      <c r="C924" t="s">
        <v>13</v>
      </c>
      <c r="D924" t="s">
        <v>14</v>
      </c>
      <c r="E924" t="s">
        <v>51</v>
      </c>
      <c r="F924" t="s">
        <v>74</v>
      </c>
      <c r="G924" t="s">
        <v>210</v>
      </c>
      <c r="H924">
        <v>583.79999999999995</v>
      </c>
      <c r="I924">
        <v>85.03</v>
      </c>
      <c r="J924">
        <v>9</v>
      </c>
      <c r="K924" t="s">
        <v>18</v>
      </c>
      <c r="L924" t="s">
        <v>61</v>
      </c>
    </row>
    <row r="925" spans="1:12" x14ac:dyDescent="0.35">
      <c r="A925" t="s">
        <v>1011</v>
      </c>
      <c r="B925" s="4">
        <v>45478</v>
      </c>
      <c r="C925" t="s">
        <v>35</v>
      </c>
      <c r="D925" t="s">
        <v>39</v>
      </c>
      <c r="E925" t="s">
        <v>15</v>
      </c>
      <c r="F925" t="s">
        <v>16</v>
      </c>
      <c r="G925" t="s">
        <v>449</v>
      </c>
      <c r="H925">
        <v>556.16999999999996</v>
      </c>
      <c r="I925">
        <v>78.31</v>
      </c>
      <c r="J925">
        <v>2</v>
      </c>
      <c r="K925" t="s">
        <v>26</v>
      </c>
      <c r="L925" t="s">
        <v>78</v>
      </c>
    </row>
    <row r="926" spans="1:12" x14ac:dyDescent="0.35">
      <c r="A926" t="s">
        <v>990</v>
      </c>
      <c r="B926" s="4">
        <v>45590</v>
      </c>
      <c r="C926" t="s">
        <v>35</v>
      </c>
      <c r="D926" t="s">
        <v>36</v>
      </c>
      <c r="E926" t="s">
        <v>15</v>
      </c>
      <c r="F926" t="s">
        <v>40</v>
      </c>
      <c r="G926" t="s">
        <v>690</v>
      </c>
      <c r="H926">
        <v>556.1</v>
      </c>
      <c r="I926">
        <v>171.05</v>
      </c>
      <c r="J926">
        <v>6</v>
      </c>
      <c r="K926" t="s">
        <v>18</v>
      </c>
      <c r="L926" t="s">
        <v>78</v>
      </c>
    </row>
    <row r="927" spans="1:12" x14ac:dyDescent="0.35">
      <c r="A927" t="s">
        <v>774</v>
      </c>
      <c r="B927" s="4">
        <v>45450</v>
      </c>
      <c r="C927" t="s">
        <v>35</v>
      </c>
      <c r="D927" t="s">
        <v>36</v>
      </c>
      <c r="E927" t="s">
        <v>15</v>
      </c>
      <c r="F927" t="s">
        <v>30</v>
      </c>
      <c r="G927" t="s">
        <v>37</v>
      </c>
      <c r="H927">
        <v>551.87</v>
      </c>
      <c r="I927">
        <v>147.86000000000001</v>
      </c>
      <c r="J927">
        <v>6</v>
      </c>
      <c r="K927" t="s">
        <v>32</v>
      </c>
      <c r="L927" t="s">
        <v>33</v>
      </c>
    </row>
    <row r="928" spans="1:12" x14ac:dyDescent="0.35">
      <c r="A928" t="s">
        <v>1013</v>
      </c>
      <c r="B928" s="4">
        <v>45603</v>
      </c>
      <c r="C928" t="s">
        <v>21</v>
      </c>
      <c r="D928" t="s">
        <v>65</v>
      </c>
      <c r="E928" t="s">
        <v>51</v>
      </c>
      <c r="F928" t="s">
        <v>52</v>
      </c>
      <c r="G928" t="s">
        <v>941</v>
      </c>
      <c r="H928">
        <v>543.97</v>
      </c>
      <c r="I928">
        <v>58.3</v>
      </c>
      <c r="J928">
        <v>8</v>
      </c>
      <c r="K928" t="s">
        <v>18</v>
      </c>
      <c r="L928" t="s">
        <v>61</v>
      </c>
    </row>
    <row r="929" spans="1:12" x14ac:dyDescent="0.35">
      <c r="A929" t="s">
        <v>453</v>
      </c>
      <c r="B929" s="4">
        <v>45319</v>
      </c>
      <c r="C929" t="s">
        <v>35</v>
      </c>
      <c r="D929" t="s">
        <v>39</v>
      </c>
      <c r="E929" t="s">
        <v>15</v>
      </c>
      <c r="F929" t="s">
        <v>30</v>
      </c>
      <c r="G929" t="s">
        <v>37</v>
      </c>
      <c r="H929">
        <v>542.17999999999995</v>
      </c>
      <c r="I929">
        <v>55.03</v>
      </c>
      <c r="J929">
        <v>5</v>
      </c>
      <c r="K929" t="s">
        <v>32</v>
      </c>
      <c r="L929" t="s">
        <v>19</v>
      </c>
    </row>
    <row r="930" spans="1:12" x14ac:dyDescent="0.35">
      <c r="A930" t="s">
        <v>1130</v>
      </c>
      <c r="B930" s="4">
        <v>45479</v>
      </c>
      <c r="C930" t="s">
        <v>21</v>
      </c>
      <c r="D930" t="s">
        <v>22</v>
      </c>
      <c r="E930" t="s">
        <v>15</v>
      </c>
      <c r="F930" t="s">
        <v>30</v>
      </c>
      <c r="G930" t="s">
        <v>297</v>
      </c>
      <c r="H930">
        <v>536.77</v>
      </c>
      <c r="I930">
        <v>120.76</v>
      </c>
      <c r="J930">
        <v>4</v>
      </c>
      <c r="K930" t="s">
        <v>32</v>
      </c>
      <c r="L930" t="s">
        <v>42</v>
      </c>
    </row>
    <row r="931" spans="1:12" x14ac:dyDescent="0.35">
      <c r="A931" t="s">
        <v>503</v>
      </c>
      <c r="B931" s="4">
        <v>45379</v>
      </c>
      <c r="C931" t="s">
        <v>46</v>
      </c>
      <c r="D931" t="s">
        <v>89</v>
      </c>
      <c r="E931" t="s">
        <v>23</v>
      </c>
      <c r="F931" t="s">
        <v>24</v>
      </c>
      <c r="G931" t="s">
        <v>318</v>
      </c>
      <c r="H931">
        <v>536.16999999999996</v>
      </c>
      <c r="I931">
        <v>38.049999999999997</v>
      </c>
      <c r="J931">
        <v>7</v>
      </c>
      <c r="K931" t="s">
        <v>18</v>
      </c>
      <c r="L931" t="s">
        <v>61</v>
      </c>
    </row>
    <row r="932" spans="1:12" x14ac:dyDescent="0.35">
      <c r="A932" t="s">
        <v>891</v>
      </c>
      <c r="B932" s="4">
        <v>45650</v>
      </c>
      <c r="C932" t="s">
        <v>35</v>
      </c>
      <c r="D932" t="s">
        <v>50</v>
      </c>
      <c r="E932" t="s">
        <v>23</v>
      </c>
      <c r="F932" t="s">
        <v>69</v>
      </c>
      <c r="G932" t="s">
        <v>355</v>
      </c>
      <c r="H932">
        <v>523.30999999999995</v>
      </c>
      <c r="I932">
        <v>48.32</v>
      </c>
      <c r="J932">
        <v>6</v>
      </c>
      <c r="K932" t="s">
        <v>26</v>
      </c>
      <c r="L932" t="s">
        <v>78</v>
      </c>
    </row>
    <row r="933" spans="1:12" x14ac:dyDescent="0.35">
      <c r="A933" t="s">
        <v>666</v>
      </c>
      <c r="B933" s="4">
        <v>45452</v>
      </c>
      <c r="C933" t="s">
        <v>46</v>
      </c>
      <c r="D933" t="s">
        <v>56</v>
      </c>
      <c r="E933" t="s">
        <v>15</v>
      </c>
      <c r="F933" t="s">
        <v>30</v>
      </c>
      <c r="G933" t="s">
        <v>489</v>
      </c>
      <c r="H933">
        <v>521.22</v>
      </c>
      <c r="I933">
        <v>66.069999999999993</v>
      </c>
      <c r="J933">
        <v>8</v>
      </c>
      <c r="K933" t="s">
        <v>26</v>
      </c>
      <c r="L933" t="s">
        <v>78</v>
      </c>
    </row>
    <row r="934" spans="1:12" x14ac:dyDescent="0.35">
      <c r="A934" t="s">
        <v>177</v>
      </c>
      <c r="B934" s="4">
        <v>45498</v>
      </c>
      <c r="C934" t="s">
        <v>46</v>
      </c>
      <c r="D934" t="s">
        <v>56</v>
      </c>
      <c r="E934" t="s">
        <v>51</v>
      </c>
      <c r="F934" t="s">
        <v>74</v>
      </c>
      <c r="G934" t="s">
        <v>171</v>
      </c>
      <c r="H934">
        <v>510.38</v>
      </c>
      <c r="I934">
        <v>41.13</v>
      </c>
      <c r="J934">
        <v>9</v>
      </c>
      <c r="K934" t="s">
        <v>26</v>
      </c>
      <c r="L934" t="s">
        <v>19</v>
      </c>
    </row>
    <row r="935" spans="1:12" x14ac:dyDescent="0.35">
      <c r="A935" t="s">
        <v>505</v>
      </c>
      <c r="B935" s="4">
        <v>45442</v>
      </c>
      <c r="C935" t="s">
        <v>35</v>
      </c>
      <c r="D935" t="s">
        <v>50</v>
      </c>
      <c r="E935" t="s">
        <v>51</v>
      </c>
      <c r="F935" t="s">
        <v>52</v>
      </c>
      <c r="G935" t="s">
        <v>111</v>
      </c>
      <c r="H935">
        <v>494.74</v>
      </c>
      <c r="I935">
        <v>146.04</v>
      </c>
      <c r="J935">
        <v>8</v>
      </c>
      <c r="K935" t="s">
        <v>26</v>
      </c>
      <c r="L935" t="s">
        <v>27</v>
      </c>
    </row>
    <row r="936" spans="1:12" x14ac:dyDescent="0.35">
      <c r="A936" t="s">
        <v>577</v>
      </c>
      <c r="B936" s="4">
        <v>45564</v>
      </c>
      <c r="C936" t="s">
        <v>35</v>
      </c>
      <c r="D936" t="s">
        <v>50</v>
      </c>
      <c r="E936" t="s">
        <v>51</v>
      </c>
      <c r="F936" t="s">
        <v>74</v>
      </c>
      <c r="G936" t="s">
        <v>132</v>
      </c>
      <c r="H936">
        <v>493.14</v>
      </c>
      <c r="I936">
        <v>52.98</v>
      </c>
      <c r="J936">
        <v>6</v>
      </c>
      <c r="K936" t="s">
        <v>18</v>
      </c>
      <c r="L936" t="s">
        <v>42</v>
      </c>
    </row>
    <row r="937" spans="1:12" x14ac:dyDescent="0.35">
      <c r="A937" t="s">
        <v>1037</v>
      </c>
      <c r="B937" s="4">
        <v>45429</v>
      </c>
      <c r="C937" t="s">
        <v>21</v>
      </c>
      <c r="D937" t="s">
        <v>22</v>
      </c>
      <c r="E937" t="s">
        <v>15</v>
      </c>
      <c r="F937" t="s">
        <v>40</v>
      </c>
      <c r="G937" t="s">
        <v>77</v>
      </c>
      <c r="H937">
        <v>491.77</v>
      </c>
      <c r="I937">
        <v>83.49</v>
      </c>
      <c r="J937">
        <v>6</v>
      </c>
      <c r="K937" t="s">
        <v>32</v>
      </c>
      <c r="L937" t="s">
        <v>58</v>
      </c>
    </row>
    <row r="938" spans="1:12" x14ac:dyDescent="0.35">
      <c r="A938" t="s">
        <v>983</v>
      </c>
      <c r="B938" s="4">
        <v>45300</v>
      </c>
      <c r="C938" t="s">
        <v>46</v>
      </c>
      <c r="D938" t="s">
        <v>56</v>
      </c>
      <c r="E938" t="s">
        <v>51</v>
      </c>
      <c r="F938" t="s">
        <v>66</v>
      </c>
      <c r="G938" t="s">
        <v>244</v>
      </c>
      <c r="H938">
        <v>489.66</v>
      </c>
      <c r="I938">
        <v>85.88</v>
      </c>
      <c r="J938">
        <v>2</v>
      </c>
      <c r="K938" t="s">
        <v>26</v>
      </c>
      <c r="L938" t="s">
        <v>78</v>
      </c>
    </row>
    <row r="939" spans="1:12" x14ac:dyDescent="0.35">
      <c r="A939" t="s">
        <v>435</v>
      </c>
      <c r="B939" s="4">
        <v>45296</v>
      </c>
      <c r="C939" t="s">
        <v>35</v>
      </c>
      <c r="D939" t="s">
        <v>36</v>
      </c>
      <c r="E939" t="s">
        <v>15</v>
      </c>
      <c r="F939" t="s">
        <v>16</v>
      </c>
      <c r="G939" t="s">
        <v>284</v>
      </c>
      <c r="H939">
        <v>484.99</v>
      </c>
      <c r="I939">
        <v>125.76</v>
      </c>
      <c r="J939">
        <v>8</v>
      </c>
      <c r="K939" t="s">
        <v>32</v>
      </c>
      <c r="L939" t="s">
        <v>42</v>
      </c>
    </row>
    <row r="940" spans="1:12" x14ac:dyDescent="0.35">
      <c r="A940" t="s">
        <v>918</v>
      </c>
      <c r="B940" s="4">
        <v>45496</v>
      </c>
      <c r="C940" t="s">
        <v>35</v>
      </c>
      <c r="D940" t="s">
        <v>36</v>
      </c>
      <c r="E940" t="s">
        <v>15</v>
      </c>
      <c r="F940" t="s">
        <v>40</v>
      </c>
      <c r="G940" t="s">
        <v>399</v>
      </c>
      <c r="H940">
        <v>479.07</v>
      </c>
      <c r="I940">
        <v>113.31</v>
      </c>
      <c r="J940">
        <v>1</v>
      </c>
      <c r="K940" t="s">
        <v>18</v>
      </c>
      <c r="L940" t="s">
        <v>54</v>
      </c>
    </row>
    <row r="941" spans="1:12" x14ac:dyDescent="0.35">
      <c r="A941" t="s">
        <v>861</v>
      </c>
      <c r="B941" s="4">
        <v>45516</v>
      </c>
      <c r="C941" t="s">
        <v>13</v>
      </c>
      <c r="D941" t="s">
        <v>29</v>
      </c>
      <c r="E941" t="s">
        <v>15</v>
      </c>
      <c r="F941" t="s">
        <v>30</v>
      </c>
      <c r="G941" t="s">
        <v>379</v>
      </c>
      <c r="H941">
        <v>468.9</v>
      </c>
      <c r="I941">
        <v>32.86</v>
      </c>
      <c r="J941">
        <v>4</v>
      </c>
      <c r="K941" t="s">
        <v>18</v>
      </c>
      <c r="L941" t="s">
        <v>58</v>
      </c>
    </row>
    <row r="942" spans="1:12" x14ac:dyDescent="0.35">
      <c r="A942" t="s">
        <v>1009</v>
      </c>
      <c r="B942" s="4">
        <v>45466</v>
      </c>
      <c r="C942" t="s">
        <v>13</v>
      </c>
      <c r="D942" t="s">
        <v>82</v>
      </c>
      <c r="E942" t="s">
        <v>15</v>
      </c>
      <c r="F942" t="s">
        <v>40</v>
      </c>
      <c r="G942" t="s">
        <v>163</v>
      </c>
      <c r="H942">
        <v>467.72</v>
      </c>
      <c r="I942">
        <v>89.44</v>
      </c>
      <c r="J942">
        <v>6</v>
      </c>
      <c r="K942" t="s">
        <v>18</v>
      </c>
      <c r="L942" t="s">
        <v>33</v>
      </c>
    </row>
    <row r="943" spans="1:12" x14ac:dyDescent="0.35">
      <c r="A943" t="s">
        <v>794</v>
      </c>
      <c r="B943" s="4">
        <v>45302</v>
      </c>
      <c r="C943" t="s">
        <v>21</v>
      </c>
      <c r="D943" t="s">
        <v>22</v>
      </c>
      <c r="E943" t="s">
        <v>15</v>
      </c>
      <c r="F943" t="s">
        <v>40</v>
      </c>
      <c r="G943" t="s">
        <v>249</v>
      </c>
      <c r="H943">
        <v>463.99</v>
      </c>
      <c r="I943">
        <v>58.77</v>
      </c>
      <c r="J943">
        <v>3</v>
      </c>
      <c r="K943" t="s">
        <v>26</v>
      </c>
      <c r="L943" t="s">
        <v>19</v>
      </c>
    </row>
    <row r="944" spans="1:12" x14ac:dyDescent="0.35">
      <c r="A944" t="s">
        <v>828</v>
      </c>
      <c r="B944" s="4">
        <v>45370</v>
      </c>
      <c r="C944" t="s">
        <v>46</v>
      </c>
      <c r="D944" t="s">
        <v>56</v>
      </c>
      <c r="E944" t="s">
        <v>15</v>
      </c>
      <c r="F944" t="s">
        <v>30</v>
      </c>
      <c r="G944" t="s">
        <v>335</v>
      </c>
      <c r="H944">
        <v>442.73</v>
      </c>
      <c r="I944">
        <v>103.51</v>
      </c>
      <c r="J944">
        <v>10</v>
      </c>
      <c r="K944" t="s">
        <v>32</v>
      </c>
      <c r="L944" t="s">
        <v>42</v>
      </c>
    </row>
    <row r="945" spans="1:12" x14ac:dyDescent="0.35">
      <c r="A945" t="s">
        <v>1082</v>
      </c>
      <c r="B945" s="4">
        <v>45394</v>
      </c>
      <c r="C945" t="s">
        <v>46</v>
      </c>
      <c r="D945" t="s">
        <v>89</v>
      </c>
      <c r="E945" t="s">
        <v>23</v>
      </c>
      <c r="F945" t="s">
        <v>69</v>
      </c>
      <c r="G945" t="s">
        <v>519</v>
      </c>
      <c r="H945">
        <v>442.08</v>
      </c>
      <c r="I945">
        <v>58.29</v>
      </c>
      <c r="J945">
        <v>1</v>
      </c>
      <c r="K945" t="s">
        <v>26</v>
      </c>
      <c r="L945" t="s">
        <v>78</v>
      </c>
    </row>
    <row r="946" spans="1:12" x14ac:dyDescent="0.35">
      <c r="A946" t="s">
        <v>784</v>
      </c>
      <c r="B946" s="4">
        <v>45350</v>
      </c>
      <c r="C946" t="s">
        <v>46</v>
      </c>
      <c r="D946" t="s">
        <v>47</v>
      </c>
      <c r="E946" t="s">
        <v>51</v>
      </c>
      <c r="F946" t="s">
        <v>74</v>
      </c>
      <c r="G946" t="s">
        <v>305</v>
      </c>
      <c r="H946">
        <v>436.9</v>
      </c>
      <c r="I946">
        <v>78.3</v>
      </c>
      <c r="J946">
        <v>8</v>
      </c>
      <c r="K946" t="s">
        <v>32</v>
      </c>
      <c r="L946" t="s">
        <v>58</v>
      </c>
    </row>
    <row r="947" spans="1:12" x14ac:dyDescent="0.35">
      <c r="A947" t="s">
        <v>1200</v>
      </c>
      <c r="B947" s="4">
        <v>45475</v>
      </c>
      <c r="C947" t="s">
        <v>35</v>
      </c>
      <c r="D947" t="s">
        <v>39</v>
      </c>
      <c r="E947" t="s">
        <v>51</v>
      </c>
      <c r="F947" t="s">
        <v>74</v>
      </c>
      <c r="G947" t="s">
        <v>294</v>
      </c>
      <c r="H947">
        <v>431.7</v>
      </c>
      <c r="I947">
        <v>77.56</v>
      </c>
      <c r="J947">
        <v>1</v>
      </c>
      <c r="K947" t="s">
        <v>32</v>
      </c>
      <c r="L947" t="s">
        <v>58</v>
      </c>
    </row>
    <row r="948" spans="1:12" x14ac:dyDescent="0.35">
      <c r="A948" t="s">
        <v>353</v>
      </c>
      <c r="B948" s="4">
        <v>45343</v>
      </c>
      <c r="C948" t="s">
        <v>21</v>
      </c>
      <c r="D948" t="s">
        <v>65</v>
      </c>
      <c r="E948" t="s">
        <v>23</v>
      </c>
      <c r="F948" t="s">
        <v>69</v>
      </c>
      <c r="G948" t="s">
        <v>115</v>
      </c>
      <c r="H948">
        <v>422.5</v>
      </c>
      <c r="I948">
        <v>145.44</v>
      </c>
      <c r="J948">
        <v>9</v>
      </c>
      <c r="K948" t="s">
        <v>32</v>
      </c>
      <c r="L948" t="s">
        <v>58</v>
      </c>
    </row>
    <row r="949" spans="1:12" x14ac:dyDescent="0.35">
      <c r="A949" t="s">
        <v>1135</v>
      </c>
      <c r="B949" s="4">
        <v>45332</v>
      </c>
      <c r="C949" t="s">
        <v>21</v>
      </c>
      <c r="D949" t="s">
        <v>65</v>
      </c>
      <c r="E949" t="s">
        <v>23</v>
      </c>
      <c r="F949" t="s">
        <v>92</v>
      </c>
      <c r="G949" t="s">
        <v>142</v>
      </c>
      <c r="H949">
        <v>420.68</v>
      </c>
      <c r="I949">
        <v>51.56</v>
      </c>
      <c r="J949">
        <v>10</v>
      </c>
      <c r="K949" t="s">
        <v>18</v>
      </c>
      <c r="L949" t="s">
        <v>61</v>
      </c>
    </row>
    <row r="950" spans="1:12" x14ac:dyDescent="0.35">
      <c r="A950" t="s">
        <v>568</v>
      </c>
      <c r="B950" s="4">
        <v>45574</v>
      </c>
      <c r="C950" t="s">
        <v>35</v>
      </c>
      <c r="D950" t="s">
        <v>36</v>
      </c>
      <c r="E950" t="s">
        <v>15</v>
      </c>
      <c r="F950" t="s">
        <v>16</v>
      </c>
      <c r="G950" t="s">
        <v>569</v>
      </c>
      <c r="H950">
        <v>417.39</v>
      </c>
      <c r="I950">
        <v>122.91</v>
      </c>
      <c r="J950">
        <v>5</v>
      </c>
      <c r="K950" t="s">
        <v>32</v>
      </c>
      <c r="L950" t="s">
        <v>58</v>
      </c>
    </row>
    <row r="951" spans="1:12" x14ac:dyDescent="0.35">
      <c r="A951" t="s">
        <v>486</v>
      </c>
      <c r="B951" s="4">
        <v>45409</v>
      </c>
      <c r="C951" t="s">
        <v>21</v>
      </c>
      <c r="D951" t="s">
        <v>134</v>
      </c>
      <c r="E951" t="s">
        <v>15</v>
      </c>
      <c r="F951" t="s">
        <v>30</v>
      </c>
      <c r="G951" t="s">
        <v>72</v>
      </c>
      <c r="H951">
        <v>414.8</v>
      </c>
      <c r="I951">
        <v>106.97</v>
      </c>
      <c r="J951">
        <v>6</v>
      </c>
      <c r="K951" t="s">
        <v>26</v>
      </c>
      <c r="L951" t="s">
        <v>33</v>
      </c>
    </row>
    <row r="952" spans="1:12" x14ac:dyDescent="0.35">
      <c r="A952" t="s">
        <v>1025</v>
      </c>
      <c r="B952" s="4">
        <v>45413</v>
      </c>
      <c r="C952" t="s">
        <v>46</v>
      </c>
      <c r="D952" t="s">
        <v>89</v>
      </c>
      <c r="E952" t="s">
        <v>15</v>
      </c>
      <c r="F952" t="s">
        <v>16</v>
      </c>
      <c r="G952" t="s">
        <v>125</v>
      </c>
      <c r="H952">
        <v>412.66</v>
      </c>
      <c r="I952">
        <v>97.03</v>
      </c>
      <c r="J952">
        <v>3</v>
      </c>
      <c r="K952" t="s">
        <v>18</v>
      </c>
      <c r="L952" t="s">
        <v>58</v>
      </c>
    </row>
    <row r="953" spans="1:12" x14ac:dyDescent="0.35">
      <c r="A953" t="s">
        <v>1098</v>
      </c>
      <c r="B953" s="4">
        <v>45585</v>
      </c>
      <c r="C953" t="s">
        <v>13</v>
      </c>
      <c r="D953" t="s">
        <v>14</v>
      </c>
      <c r="E953" t="s">
        <v>15</v>
      </c>
      <c r="F953" t="s">
        <v>16</v>
      </c>
      <c r="G953" t="s">
        <v>541</v>
      </c>
      <c r="H953">
        <v>406.76</v>
      </c>
      <c r="I953">
        <v>20.55</v>
      </c>
      <c r="J953">
        <v>6</v>
      </c>
      <c r="K953" t="s">
        <v>32</v>
      </c>
      <c r="L953" t="s">
        <v>19</v>
      </c>
    </row>
    <row r="954" spans="1:12" x14ac:dyDescent="0.35">
      <c r="A954" t="s">
        <v>1046</v>
      </c>
      <c r="B954" s="4">
        <v>45402</v>
      </c>
      <c r="C954" t="s">
        <v>21</v>
      </c>
      <c r="D954" t="s">
        <v>65</v>
      </c>
      <c r="E954" t="s">
        <v>51</v>
      </c>
      <c r="F954" t="s">
        <v>52</v>
      </c>
      <c r="G954" t="s">
        <v>111</v>
      </c>
      <c r="H954">
        <v>406.09</v>
      </c>
      <c r="I954">
        <v>49.48</v>
      </c>
      <c r="J954">
        <v>8</v>
      </c>
      <c r="K954" t="s">
        <v>26</v>
      </c>
      <c r="L954" t="s">
        <v>54</v>
      </c>
    </row>
    <row r="955" spans="1:12" x14ac:dyDescent="0.35">
      <c r="A955" t="s">
        <v>999</v>
      </c>
      <c r="B955" s="4">
        <v>45449</v>
      </c>
      <c r="C955" t="s">
        <v>35</v>
      </c>
      <c r="D955" t="s">
        <v>50</v>
      </c>
      <c r="E955" t="s">
        <v>51</v>
      </c>
      <c r="F955" t="s">
        <v>66</v>
      </c>
      <c r="G955" t="s">
        <v>396</v>
      </c>
      <c r="H955">
        <v>400.43</v>
      </c>
      <c r="I955">
        <v>133.37</v>
      </c>
      <c r="J955">
        <v>1</v>
      </c>
      <c r="K955" t="s">
        <v>18</v>
      </c>
      <c r="L955" t="s">
        <v>27</v>
      </c>
    </row>
    <row r="956" spans="1:12" x14ac:dyDescent="0.35">
      <c r="A956" t="s">
        <v>915</v>
      </c>
      <c r="B956" s="4">
        <v>45533</v>
      </c>
      <c r="C956" t="s">
        <v>13</v>
      </c>
      <c r="D956" t="s">
        <v>82</v>
      </c>
      <c r="E956" t="s">
        <v>23</v>
      </c>
      <c r="F956" t="s">
        <v>24</v>
      </c>
      <c r="G956" t="s">
        <v>727</v>
      </c>
      <c r="H956">
        <v>383.68</v>
      </c>
      <c r="I956">
        <v>49.03</v>
      </c>
      <c r="J956">
        <v>1</v>
      </c>
      <c r="K956" t="s">
        <v>26</v>
      </c>
      <c r="L956" t="s">
        <v>61</v>
      </c>
    </row>
    <row r="957" spans="1:12" x14ac:dyDescent="0.35">
      <c r="A957" t="s">
        <v>615</v>
      </c>
      <c r="B957" s="4">
        <v>45647</v>
      </c>
      <c r="C957" t="s">
        <v>46</v>
      </c>
      <c r="D957" t="s">
        <v>56</v>
      </c>
      <c r="E957" t="s">
        <v>15</v>
      </c>
      <c r="F957" t="s">
        <v>16</v>
      </c>
      <c r="G957" t="s">
        <v>199</v>
      </c>
      <c r="H957">
        <v>379.28</v>
      </c>
      <c r="I957">
        <v>119.74</v>
      </c>
      <c r="J957">
        <v>10</v>
      </c>
      <c r="K957" t="s">
        <v>18</v>
      </c>
      <c r="L957" t="s">
        <v>61</v>
      </c>
    </row>
    <row r="958" spans="1:12" x14ac:dyDescent="0.35">
      <c r="A958" t="s">
        <v>95</v>
      </c>
      <c r="B958" s="4">
        <v>45644</v>
      </c>
      <c r="C958" t="s">
        <v>21</v>
      </c>
      <c r="D958" t="s">
        <v>65</v>
      </c>
      <c r="E958" t="s">
        <v>51</v>
      </c>
      <c r="F958" t="s">
        <v>66</v>
      </c>
      <c r="G958" t="s">
        <v>96</v>
      </c>
      <c r="H958">
        <v>373.91</v>
      </c>
      <c r="I958">
        <v>97.86</v>
      </c>
      <c r="J958">
        <v>8</v>
      </c>
      <c r="K958" t="s">
        <v>32</v>
      </c>
      <c r="L958" t="s">
        <v>27</v>
      </c>
    </row>
    <row r="959" spans="1:12" x14ac:dyDescent="0.35">
      <c r="A959" t="s">
        <v>1182</v>
      </c>
      <c r="B959" s="4">
        <v>45552</v>
      </c>
      <c r="C959" t="s">
        <v>21</v>
      </c>
      <c r="D959" t="s">
        <v>22</v>
      </c>
      <c r="E959" t="s">
        <v>51</v>
      </c>
      <c r="F959" t="s">
        <v>74</v>
      </c>
      <c r="G959" t="s">
        <v>210</v>
      </c>
      <c r="H959">
        <v>371.19</v>
      </c>
      <c r="I959">
        <v>62.89</v>
      </c>
      <c r="J959">
        <v>8</v>
      </c>
      <c r="K959" t="s">
        <v>32</v>
      </c>
      <c r="L959" t="s">
        <v>54</v>
      </c>
    </row>
    <row r="960" spans="1:12" x14ac:dyDescent="0.35">
      <c r="A960" t="s">
        <v>1111</v>
      </c>
      <c r="B960" s="4">
        <v>45402</v>
      </c>
      <c r="C960" t="s">
        <v>46</v>
      </c>
      <c r="D960" t="s">
        <v>56</v>
      </c>
      <c r="E960" t="s">
        <v>15</v>
      </c>
      <c r="F960" t="s">
        <v>30</v>
      </c>
      <c r="G960" t="s">
        <v>105</v>
      </c>
      <c r="H960">
        <v>361.17</v>
      </c>
      <c r="I960">
        <v>94.95</v>
      </c>
      <c r="J960">
        <v>7</v>
      </c>
      <c r="K960" t="s">
        <v>32</v>
      </c>
      <c r="L960" t="s">
        <v>54</v>
      </c>
    </row>
    <row r="961" spans="1:12" x14ac:dyDescent="0.35">
      <c r="A961" t="s">
        <v>367</v>
      </c>
      <c r="B961" s="4">
        <v>45594</v>
      </c>
      <c r="C961" t="s">
        <v>46</v>
      </c>
      <c r="D961" t="s">
        <v>89</v>
      </c>
      <c r="E961" t="s">
        <v>51</v>
      </c>
      <c r="F961" t="s">
        <v>74</v>
      </c>
      <c r="G961" t="s">
        <v>193</v>
      </c>
      <c r="H961">
        <v>356.76</v>
      </c>
      <c r="I961">
        <v>75.739999999999995</v>
      </c>
      <c r="J961">
        <v>4</v>
      </c>
      <c r="K961" t="s">
        <v>26</v>
      </c>
      <c r="L961" t="s">
        <v>61</v>
      </c>
    </row>
    <row r="962" spans="1:12" x14ac:dyDescent="0.35">
      <c r="A962" t="s">
        <v>591</v>
      </c>
      <c r="B962" s="4">
        <v>45609</v>
      </c>
      <c r="C962" t="s">
        <v>46</v>
      </c>
      <c r="D962" t="s">
        <v>56</v>
      </c>
      <c r="E962" t="s">
        <v>51</v>
      </c>
      <c r="F962" t="s">
        <v>74</v>
      </c>
      <c r="G962" t="s">
        <v>277</v>
      </c>
      <c r="H962">
        <v>356.76</v>
      </c>
      <c r="I962">
        <v>116.64</v>
      </c>
      <c r="J962">
        <v>2</v>
      </c>
      <c r="K962" t="s">
        <v>32</v>
      </c>
      <c r="L962" t="s">
        <v>58</v>
      </c>
    </row>
    <row r="963" spans="1:12" x14ac:dyDescent="0.35">
      <c r="A963" t="s">
        <v>789</v>
      </c>
      <c r="B963" s="4">
        <v>45569</v>
      </c>
      <c r="C963" t="s">
        <v>21</v>
      </c>
      <c r="D963" t="s">
        <v>65</v>
      </c>
      <c r="E963" t="s">
        <v>23</v>
      </c>
      <c r="F963" t="s">
        <v>24</v>
      </c>
      <c r="G963" t="s">
        <v>586</v>
      </c>
      <c r="H963">
        <v>351.16</v>
      </c>
      <c r="I963">
        <v>112.3</v>
      </c>
      <c r="J963">
        <v>7</v>
      </c>
      <c r="K963" t="s">
        <v>26</v>
      </c>
      <c r="L963" t="s">
        <v>19</v>
      </c>
    </row>
    <row r="964" spans="1:12" x14ac:dyDescent="0.35">
      <c r="A964" t="s">
        <v>788</v>
      </c>
      <c r="B964" s="4">
        <v>45368</v>
      </c>
      <c r="C964" t="s">
        <v>13</v>
      </c>
      <c r="D964" t="s">
        <v>29</v>
      </c>
      <c r="E964" t="s">
        <v>23</v>
      </c>
      <c r="F964" t="s">
        <v>92</v>
      </c>
      <c r="G964" t="s">
        <v>446</v>
      </c>
      <c r="H964">
        <v>348.95</v>
      </c>
      <c r="I964">
        <v>69.260000000000005</v>
      </c>
      <c r="J964">
        <v>5</v>
      </c>
      <c r="K964" t="s">
        <v>32</v>
      </c>
      <c r="L964" t="s">
        <v>19</v>
      </c>
    </row>
    <row r="965" spans="1:12" x14ac:dyDescent="0.35">
      <c r="A965" t="s">
        <v>726</v>
      </c>
      <c r="B965" s="4">
        <v>45446</v>
      </c>
      <c r="C965" t="s">
        <v>21</v>
      </c>
      <c r="D965" t="s">
        <v>22</v>
      </c>
      <c r="E965" t="s">
        <v>23</v>
      </c>
      <c r="F965" t="s">
        <v>24</v>
      </c>
      <c r="G965" t="s">
        <v>727</v>
      </c>
      <c r="H965">
        <v>345.68</v>
      </c>
      <c r="I965">
        <v>40.200000000000003</v>
      </c>
      <c r="J965">
        <v>10</v>
      </c>
      <c r="K965" t="s">
        <v>26</v>
      </c>
      <c r="L965" t="s">
        <v>33</v>
      </c>
    </row>
    <row r="966" spans="1:12" x14ac:dyDescent="0.35">
      <c r="A966" t="s">
        <v>1196</v>
      </c>
      <c r="B966" s="4">
        <v>45560</v>
      </c>
      <c r="C966" t="s">
        <v>21</v>
      </c>
      <c r="D966" t="s">
        <v>22</v>
      </c>
      <c r="E966" t="s">
        <v>51</v>
      </c>
      <c r="F966" t="s">
        <v>74</v>
      </c>
      <c r="G966" t="s">
        <v>373</v>
      </c>
      <c r="H966">
        <v>335.52</v>
      </c>
      <c r="I966">
        <v>102.9</v>
      </c>
      <c r="J966">
        <v>4</v>
      </c>
      <c r="K966" t="s">
        <v>32</v>
      </c>
      <c r="L966" t="s">
        <v>58</v>
      </c>
    </row>
    <row r="967" spans="1:12" x14ac:dyDescent="0.35">
      <c r="A967" t="s">
        <v>809</v>
      </c>
      <c r="B967" s="4">
        <v>45399</v>
      </c>
      <c r="C967" t="s">
        <v>46</v>
      </c>
      <c r="D967" t="s">
        <v>89</v>
      </c>
      <c r="E967" t="s">
        <v>51</v>
      </c>
      <c r="F967" t="s">
        <v>66</v>
      </c>
      <c r="G967" t="s">
        <v>721</v>
      </c>
      <c r="H967">
        <v>333.93</v>
      </c>
      <c r="I967">
        <v>100.62</v>
      </c>
      <c r="J967">
        <v>1</v>
      </c>
      <c r="K967" t="s">
        <v>32</v>
      </c>
      <c r="L967" t="s">
        <v>78</v>
      </c>
    </row>
    <row r="968" spans="1:12" x14ac:dyDescent="0.35">
      <c r="A968" t="s">
        <v>596</v>
      </c>
      <c r="B968" s="4">
        <v>45624</v>
      </c>
      <c r="C968" t="s">
        <v>13</v>
      </c>
      <c r="D968" t="s">
        <v>82</v>
      </c>
      <c r="E968" t="s">
        <v>15</v>
      </c>
      <c r="F968" t="s">
        <v>16</v>
      </c>
      <c r="G968" t="s">
        <v>90</v>
      </c>
      <c r="H968">
        <v>328.62</v>
      </c>
      <c r="I968">
        <v>72.14</v>
      </c>
      <c r="J968">
        <v>9</v>
      </c>
      <c r="K968" t="s">
        <v>32</v>
      </c>
      <c r="L968" t="s">
        <v>19</v>
      </c>
    </row>
    <row r="969" spans="1:12" x14ac:dyDescent="0.35">
      <c r="A969" t="s">
        <v>1109</v>
      </c>
      <c r="B969" s="4">
        <v>45525</v>
      </c>
      <c r="C969" t="s">
        <v>13</v>
      </c>
      <c r="D969" t="s">
        <v>14</v>
      </c>
      <c r="E969" t="s">
        <v>15</v>
      </c>
      <c r="F969" t="s">
        <v>30</v>
      </c>
      <c r="G969" t="s">
        <v>105</v>
      </c>
      <c r="H969">
        <v>328.07</v>
      </c>
      <c r="I969">
        <v>102.46</v>
      </c>
      <c r="J969">
        <v>2</v>
      </c>
      <c r="K969" t="s">
        <v>18</v>
      </c>
      <c r="L969" t="s">
        <v>19</v>
      </c>
    </row>
    <row r="970" spans="1:12" x14ac:dyDescent="0.35">
      <c r="A970" t="s">
        <v>438</v>
      </c>
      <c r="B970" s="4">
        <v>45488</v>
      </c>
      <c r="C970" t="s">
        <v>13</v>
      </c>
      <c r="D970" t="s">
        <v>14</v>
      </c>
      <c r="E970" t="s">
        <v>23</v>
      </c>
      <c r="F970" t="s">
        <v>92</v>
      </c>
      <c r="G970" t="s">
        <v>183</v>
      </c>
      <c r="H970">
        <v>326.01</v>
      </c>
      <c r="I970">
        <v>24.52</v>
      </c>
      <c r="J970">
        <v>9</v>
      </c>
      <c r="K970" t="s">
        <v>26</v>
      </c>
      <c r="L970" t="s">
        <v>19</v>
      </c>
    </row>
    <row r="971" spans="1:12" x14ac:dyDescent="0.35">
      <c r="A971" t="s">
        <v>705</v>
      </c>
      <c r="B971" s="4">
        <v>45591</v>
      </c>
      <c r="C971" t="s">
        <v>13</v>
      </c>
      <c r="D971" t="s">
        <v>14</v>
      </c>
      <c r="E971" t="s">
        <v>15</v>
      </c>
      <c r="F971" t="s">
        <v>16</v>
      </c>
      <c r="G971" t="s">
        <v>402</v>
      </c>
      <c r="H971">
        <v>325.29000000000002</v>
      </c>
      <c r="I971">
        <v>51.76</v>
      </c>
      <c r="J971">
        <v>6</v>
      </c>
      <c r="K971" t="s">
        <v>26</v>
      </c>
      <c r="L971" t="s">
        <v>27</v>
      </c>
    </row>
    <row r="972" spans="1:12" x14ac:dyDescent="0.35">
      <c r="A972" t="s">
        <v>298</v>
      </c>
      <c r="B972" s="4">
        <v>45510</v>
      </c>
      <c r="C972" t="s">
        <v>35</v>
      </c>
      <c r="D972" t="s">
        <v>36</v>
      </c>
      <c r="E972" t="s">
        <v>23</v>
      </c>
      <c r="F972" t="s">
        <v>24</v>
      </c>
      <c r="G972" t="s">
        <v>299</v>
      </c>
      <c r="H972">
        <v>324.48</v>
      </c>
      <c r="I972">
        <v>55.44</v>
      </c>
      <c r="J972">
        <v>4</v>
      </c>
      <c r="K972" t="s">
        <v>26</v>
      </c>
      <c r="L972" t="s">
        <v>33</v>
      </c>
    </row>
    <row r="973" spans="1:12" x14ac:dyDescent="0.35">
      <c r="A973" t="s">
        <v>369</v>
      </c>
      <c r="B973" s="4">
        <v>45555</v>
      </c>
      <c r="C973" t="s">
        <v>46</v>
      </c>
      <c r="D973" t="s">
        <v>56</v>
      </c>
      <c r="E973" t="s">
        <v>15</v>
      </c>
      <c r="F973" t="s">
        <v>30</v>
      </c>
      <c r="G973" t="s">
        <v>340</v>
      </c>
      <c r="H973">
        <v>324.29000000000002</v>
      </c>
      <c r="I973">
        <v>24.73</v>
      </c>
      <c r="J973">
        <v>8</v>
      </c>
      <c r="K973" t="s">
        <v>32</v>
      </c>
      <c r="L973" t="s">
        <v>78</v>
      </c>
    </row>
    <row r="974" spans="1:12" x14ac:dyDescent="0.35">
      <c r="A974" t="s">
        <v>759</v>
      </c>
      <c r="B974" s="4">
        <v>45557</v>
      </c>
      <c r="C974" t="s">
        <v>13</v>
      </c>
      <c r="D974" t="s">
        <v>14</v>
      </c>
      <c r="E974" t="s">
        <v>23</v>
      </c>
      <c r="F974" t="s">
        <v>92</v>
      </c>
      <c r="G974" t="s">
        <v>482</v>
      </c>
      <c r="H974">
        <v>322.31</v>
      </c>
      <c r="I974">
        <v>46.23</v>
      </c>
      <c r="J974">
        <v>8</v>
      </c>
      <c r="K974" t="s">
        <v>26</v>
      </c>
      <c r="L974" t="s">
        <v>27</v>
      </c>
    </row>
    <row r="975" spans="1:12" x14ac:dyDescent="0.35">
      <c r="A975" t="s">
        <v>1159</v>
      </c>
      <c r="B975" s="4">
        <v>45487</v>
      </c>
      <c r="C975" t="s">
        <v>35</v>
      </c>
      <c r="D975" t="s">
        <v>50</v>
      </c>
      <c r="E975" t="s">
        <v>51</v>
      </c>
      <c r="F975" t="s">
        <v>52</v>
      </c>
      <c r="G975" t="s">
        <v>422</v>
      </c>
      <c r="H975">
        <v>316.82</v>
      </c>
      <c r="I975">
        <v>20.010000000000002</v>
      </c>
      <c r="J975">
        <v>3</v>
      </c>
      <c r="K975" t="s">
        <v>26</v>
      </c>
      <c r="L975" t="s">
        <v>61</v>
      </c>
    </row>
    <row r="976" spans="1:12" x14ac:dyDescent="0.35">
      <c r="A976" t="s">
        <v>1088</v>
      </c>
      <c r="B976" s="4">
        <v>45655</v>
      </c>
      <c r="C976" t="s">
        <v>13</v>
      </c>
      <c r="D976" t="s">
        <v>29</v>
      </c>
      <c r="E976" t="s">
        <v>15</v>
      </c>
      <c r="F976" t="s">
        <v>30</v>
      </c>
      <c r="G976" t="s">
        <v>63</v>
      </c>
      <c r="H976">
        <v>307.08</v>
      </c>
      <c r="I976">
        <v>57.84</v>
      </c>
      <c r="J976">
        <v>2</v>
      </c>
      <c r="K976" t="s">
        <v>32</v>
      </c>
      <c r="L976" t="s">
        <v>33</v>
      </c>
    </row>
    <row r="977" spans="1:12" x14ac:dyDescent="0.35">
      <c r="A977" t="s">
        <v>436</v>
      </c>
      <c r="B977" s="4">
        <v>45415</v>
      </c>
      <c r="C977" t="s">
        <v>35</v>
      </c>
      <c r="D977" t="s">
        <v>36</v>
      </c>
      <c r="E977" t="s">
        <v>51</v>
      </c>
      <c r="F977" t="s">
        <v>74</v>
      </c>
      <c r="G977" t="s">
        <v>75</v>
      </c>
      <c r="H977">
        <v>301.10000000000002</v>
      </c>
      <c r="I977">
        <v>70.72</v>
      </c>
      <c r="J977">
        <v>10</v>
      </c>
      <c r="K977" t="s">
        <v>26</v>
      </c>
      <c r="L977" t="s">
        <v>61</v>
      </c>
    </row>
    <row r="978" spans="1:12" x14ac:dyDescent="0.35">
      <c r="A978" t="s">
        <v>1083</v>
      </c>
      <c r="B978" s="4">
        <v>45403</v>
      </c>
      <c r="C978" t="s">
        <v>46</v>
      </c>
      <c r="D978" t="s">
        <v>56</v>
      </c>
      <c r="E978" t="s">
        <v>15</v>
      </c>
      <c r="F978" t="s">
        <v>40</v>
      </c>
      <c r="G978" t="s">
        <v>458</v>
      </c>
      <c r="H978">
        <v>294.38</v>
      </c>
      <c r="I978">
        <v>93.83</v>
      </c>
      <c r="J978">
        <v>2</v>
      </c>
      <c r="K978" t="s">
        <v>26</v>
      </c>
      <c r="L978" t="s">
        <v>27</v>
      </c>
    </row>
    <row r="979" spans="1:12" x14ac:dyDescent="0.35">
      <c r="A979" t="s">
        <v>716</v>
      </c>
      <c r="B979" s="4">
        <v>45348</v>
      </c>
      <c r="C979" t="s">
        <v>46</v>
      </c>
      <c r="D979" t="s">
        <v>89</v>
      </c>
      <c r="E979" t="s">
        <v>15</v>
      </c>
      <c r="F979" t="s">
        <v>40</v>
      </c>
      <c r="G979" t="s">
        <v>258</v>
      </c>
      <c r="H979">
        <v>289.23</v>
      </c>
      <c r="I979">
        <v>53.34</v>
      </c>
      <c r="J979">
        <v>4</v>
      </c>
      <c r="K979" t="s">
        <v>26</v>
      </c>
      <c r="L979" t="s">
        <v>33</v>
      </c>
    </row>
    <row r="980" spans="1:12" x14ac:dyDescent="0.35">
      <c r="A980" t="s">
        <v>771</v>
      </c>
      <c r="B980" s="4">
        <v>45359</v>
      </c>
      <c r="C980" t="s">
        <v>46</v>
      </c>
      <c r="D980" t="s">
        <v>89</v>
      </c>
      <c r="E980" t="s">
        <v>23</v>
      </c>
      <c r="F980" t="s">
        <v>92</v>
      </c>
      <c r="G980" t="s">
        <v>109</v>
      </c>
      <c r="H980">
        <v>280.58999999999997</v>
      </c>
      <c r="I980">
        <v>79.709999999999994</v>
      </c>
      <c r="J980">
        <v>5</v>
      </c>
      <c r="K980" t="s">
        <v>26</v>
      </c>
      <c r="L980" t="s">
        <v>61</v>
      </c>
    </row>
    <row r="981" spans="1:12" x14ac:dyDescent="0.35">
      <c r="A981" t="s">
        <v>897</v>
      </c>
      <c r="B981" s="4">
        <v>45651</v>
      </c>
      <c r="C981" t="s">
        <v>35</v>
      </c>
      <c r="D981" t="s">
        <v>39</v>
      </c>
      <c r="E981" t="s">
        <v>51</v>
      </c>
      <c r="F981" t="s">
        <v>66</v>
      </c>
      <c r="G981" t="s">
        <v>362</v>
      </c>
      <c r="H981">
        <v>273.75</v>
      </c>
      <c r="I981">
        <v>37.54</v>
      </c>
      <c r="J981">
        <v>2</v>
      </c>
      <c r="K981" t="s">
        <v>26</v>
      </c>
      <c r="L981" t="s">
        <v>42</v>
      </c>
    </row>
    <row r="982" spans="1:12" x14ac:dyDescent="0.35">
      <c r="A982" t="s">
        <v>1081</v>
      </c>
      <c r="B982" s="4">
        <v>45318</v>
      </c>
      <c r="C982" t="s">
        <v>46</v>
      </c>
      <c r="D982" t="s">
        <v>47</v>
      </c>
      <c r="E982" t="s">
        <v>15</v>
      </c>
      <c r="F982" t="s">
        <v>40</v>
      </c>
      <c r="G982" t="s">
        <v>127</v>
      </c>
      <c r="H982">
        <v>272.13</v>
      </c>
      <c r="I982">
        <v>61.9</v>
      </c>
      <c r="J982">
        <v>6</v>
      </c>
      <c r="K982" t="s">
        <v>26</v>
      </c>
      <c r="L982" t="s">
        <v>27</v>
      </c>
    </row>
    <row r="983" spans="1:12" x14ac:dyDescent="0.35">
      <c r="A983" t="s">
        <v>110</v>
      </c>
      <c r="B983" s="4">
        <v>45318</v>
      </c>
      <c r="C983" t="s">
        <v>13</v>
      </c>
      <c r="D983" t="s">
        <v>29</v>
      </c>
      <c r="E983" t="s">
        <v>51</v>
      </c>
      <c r="F983" t="s">
        <v>52</v>
      </c>
      <c r="G983" t="s">
        <v>111</v>
      </c>
      <c r="H983">
        <v>270.79000000000002</v>
      </c>
      <c r="I983">
        <v>81.64</v>
      </c>
      <c r="J983">
        <v>9</v>
      </c>
      <c r="K983" t="s">
        <v>26</v>
      </c>
      <c r="L983" t="s">
        <v>27</v>
      </c>
    </row>
    <row r="984" spans="1:12" x14ac:dyDescent="0.35">
      <c r="A984" t="s">
        <v>203</v>
      </c>
      <c r="B984" s="4">
        <v>45321</v>
      </c>
      <c r="C984" t="s">
        <v>13</v>
      </c>
      <c r="D984" t="s">
        <v>14</v>
      </c>
      <c r="E984" t="s">
        <v>15</v>
      </c>
      <c r="F984" t="s">
        <v>16</v>
      </c>
      <c r="G984" t="s">
        <v>204</v>
      </c>
      <c r="H984">
        <v>261.56</v>
      </c>
      <c r="I984">
        <v>57.5</v>
      </c>
      <c r="J984">
        <v>3</v>
      </c>
      <c r="K984" t="s">
        <v>18</v>
      </c>
      <c r="L984" t="s">
        <v>19</v>
      </c>
    </row>
    <row r="985" spans="1:12" x14ac:dyDescent="0.35">
      <c r="A985" t="s">
        <v>965</v>
      </c>
      <c r="B985" s="4">
        <v>45601</v>
      </c>
      <c r="C985" t="s">
        <v>13</v>
      </c>
      <c r="D985" t="s">
        <v>82</v>
      </c>
      <c r="E985" t="s">
        <v>15</v>
      </c>
      <c r="F985" t="s">
        <v>30</v>
      </c>
      <c r="G985" t="s">
        <v>489</v>
      </c>
      <c r="H985">
        <v>261.52</v>
      </c>
      <c r="I985">
        <v>56.06</v>
      </c>
      <c r="J985">
        <v>7</v>
      </c>
      <c r="K985" t="s">
        <v>32</v>
      </c>
      <c r="L985" t="s">
        <v>58</v>
      </c>
    </row>
    <row r="986" spans="1:12" x14ac:dyDescent="0.35">
      <c r="A986" t="s">
        <v>940</v>
      </c>
      <c r="B986" s="4">
        <v>45454</v>
      </c>
      <c r="C986" t="s">
        <v>21</v>
      </c>
      <c r="D986" t="s">
        <v>22</v>
      </c>
      <c r="E986" t="s">
        <v>51</v>
      </c>
      <c r="F986" t="s">
        <v>52</v>
      </c>
      <c r="G986" t="s">
        <v>941</v>
      </c>
      <c r="H986">
        <v>257.39</v>
      </c>
      <c r="I986">
        <v>82.34</v>
      </c>
      <c r="J986">
        <v>3</v>
      </c>
      <c r="K986" t="s">
        <v>26</v>
      </c>
      <c r="L986" t="s">
        <v>58</v>
      </c>
    </row>
    <row r="987" spans="1:12" x14ac:dyDescent="0.35">
      <c r="A987" t="s">
        <v>1145</v>
      </c>
      <c r="B987" s="4">
        <v>45425</v>
      </c>
      <c r="C987" t="s">
        <v>46</v>
      </c>
      <c r="D987" t="s">
        <v>56</v>
      </c>
      <c r="E987" t="s">
        <v>23</v>
      </c>
      <c r="F987" t="s">
        <v>69</v>
      </c>
      <c r="G987" t="s">
        <v>365</v>
      </c>
      <c r="H987">
        <v>256.29000000000002</v>
      </c>
      <c r="I987">
        <v>19.02</v>
      </c>
      <c r="J987">
        <v>6</v>
      </c>
      <c r="K987" t="s">
        <v>26</v>
      </c>
      <c r="L987" t="s">
        <v>58</v>
      </c>
    </row>
    <row r="988" spans="1:12" x14ac:dyDescent="0.35">
      <c r="A988" t="s">
        <v>854</v>
      </c>
      <c r="B988" s="4">
        <v>45480</v>
      </c>
      <c r="C988" t="s">
        <v>13</v>
      </c>
      <c r="D988" t="s">
        <v>82</v>
      </c>
      <c r="E988" t="s">
        <v>51</v>
      </c>
      <c r="F988" t="s">
        <v>52</v>
      </c>
      <c r="G988" t="s">
        <v>119</v>
      </c>
      <c r="H988">
        <v>254.56</v>
      </c>
      <c r="I988">
        <v>20.87</v>
      </c>
      <c r="J988">
        <v>9</v>
      </c>
      <c r="K988" t="s">
        <v>26</v>
      </c>
      <c r="L988" t="s">
        <v>61</v>
      </c>
    </row>
    <row r="989" spans="1:12" x14ac:dyDescent="0.35">
      <c r="A989" t="s">
        <v>1049</v>
      </c>
      <c r="B989" s="4">
        <v>45506</v>
      </c>
      <c r="C989" t="s">
        <v>13</v>
      </c>
      <c r="D989" t="s">
        <v>29</v>
      </c>
      <c r="E989" t="s">
        <v>23</v>
      </c>
      <c r="F989" t="s">
        <v>92</v>
      </c>
      <c r="G989" t="s">
        <v>566</v>
      </c>
      <c r="H989">
        <v>245.01</v>
      </c>
      <c r="I989">
        <v>71.19</v>
      </c>
      <c r="J989">
        <v>6</v>
      </c>
      <c r="K989" t="s">
        <v>26</v>
      </c>
      <c r="L989" t="s">
        <v>42</v>
      </c>
    </row>
    <row r="990" spans="1:12" x14ac:dyDescent="0.35">
      <c r="A990" t="s">
        <v>617</v>
      </c>
      <c r="B990" s="4">
        <v>45501</v>
      </c>
      <c r="C990" t="s">
        <v>13</v>
      </c>
      <c r="D990" t="s">
        <v>29</v>
      </c>
      <c r="E990" t="s">
        <v>23</v>
      </c>
      <c r="F990" t="s">
        <v>24</v>
      </c>
      <c r="G990" t="s">
        <v>103</v>
      </c>
      <c r="H990">
        <v>234.36</v>
      </c>
      <c r="I990">
        <v>48.87</v>
      </c>
      <c r="J990">
        <v>2</v>
      </c>
      <c r="K990" t="s">
        <v>26</v>
      </c>
      <c r="L990" t="s">
        <v>54</v>
      </c>
    </row>
    <row r="991" spans="1:12" x14ac:dyDescent="0.35">
      <c r="A991" t="s">
        <v>981</v>
      </c>
      <c r="B991" s="4">
        <v>45551</v>
      </c>
      <c r="C991" t="s">
        <v>21</v>
      </c>
      <c r="D991" t="s">
        <v>134</v>
      </c>
      <c r="E991" t="s">
        <v>51</v>
      </c>
      <c r="F991" t="s">
        <v>52</v>
      </c>
      <c r="G991" t="s">
        <v>201</v>
      </c>
      <c r="H991">
        <v>230.4</v>
      </c>
      <c r="I991">
        <v>45.61</v>
      </c>
      <c r="J991">
        <v>4</v>
      </c>
      <c r="K991" t="s">
        <v>26</v>
      </c>
      <c r="L991" t="s">
        <v>61</v>
      </c>
    </row>
    <row r="992" spans="1:12" x14ac:dyDescent="0.35">
      <c r="A992" t="s">
        <v>622</v>
      </c>
      <c r="B992" s="4">
        <v>45636</v>
      </c>
      <c r="C992" t="s">
        <v>35</v>
      </c>
      <c r="D992" t="s">
        <v>36</v>
      </c>
      <c r="E992" t="s">
        <v>15</v>
      </c>
      <c r="F992" t="s">
        <v>30</v>
      </c>
      <c r="G992" t="s">
        <v>271</v>
      </c>
      <c r="H992">
        <v>228.81</v>
      </c>
      <c r="I992">
        <v>30.91</v>
      </c>
      <c r="J992">
        <v>4</v>
      </c>
      <c r="K992" t="s">
        <v>32</v>
      </c>
      <c r="L992" t="s">
        <v>61</v>
      </c>
    </row>
    <row r="993" spans="1:12" x14ac:dyDescent="0.35">
      <c r="A993" t="s">
        <v>498</v>
      </c>
      <c r="B993" s="4">
        <v>45383</v>
      </c>
      <c r="C993" t="s">
        <v>46</v>
      </c>
      <c r="D993" t="s">
        <v>56</v>
      </c>
      <c r="E993" t="s">
        <v>51</v>
      </c>
      <c r="F993" t="s">
        <v>52</v>
      </c>
      <c r="G993" t="s">
        <v>499</v>
      </c>
      <c r="H993">
        <v>225.07</v>
      </c>
      <c r="I993">
        <v>76.989999999999995</v>
      </c>
      <c r="J993">
        <v>1</v>
      </c>
      <c r="K993" t="s">
        <v>32</v>
      </c>
      <c r="L993" t="s">
        <v>61</v>
      </c>
    </row>
    <row r="994" spans="1:12" x14ac:dyDescent="0.35">
      <c r="A994" t="s">
        <v>634</v>
      </c>
      <c r="B994" s="4">
        <v>45522</v>
      </c>
      <c r="C994" t="s">
        <v>46</v>
      </c>
      <c r="D994" t="s">
        <v>56</v>
      </c>
      <c r="E994" t="s">
        <v>15</v>
      </c>
      <c r="F994" t="s">
        <v>40</v>
      </c>
      <c r="G994" t="s">
        <v>144</v>
      </c>
      <c r="H994">
        <v>221.55</v>
      </c>
      <c r="I994">
        <v>19.16</v>
      </c>
      <c r="J994">
        <v>3</v>
      </c>
      <c r="K994" t="s">
        <v>26</v>
      </c>
      <c r="L994" t="s">
        <v>61</v>
      </c>
    </row>
    <row r="995" spans="1:12" x14ac:dyDescent="0.35">
      <c r="A995" t="s">
        <v>993</v>
      </c>
      <c r="B995" s="4">
        <v>45380</v>
      </c>
      <c r="C995" t="s">
        <v>35</v>
      </c>
      <c r="D995" t="s">
        <v>39</v>
      </c>
      <c r="E995" t="s">
        <v>15</v>
      </c>
      <c r="F995" t="s">
        <v>40</v>
      </c>
      <c r="G995" t="s">
        <v>246</v>
      </c>
      <c r="H995">
        <v>218.58</v>
      </c>
      <c r="I995">
        <v>63.36</v>
      </c>
      <c r="J995">
        <v>8</v>
      </c>
      <c r="K995" t="s">
        <v>32</v>
      </c>
      <c r="L995" t="s">
        <v>54</v>
      </c>
    </row>
    <row r="996" spans="1:12" x14ac:dyDescent="0.35">
      <c r="A996" t="s">
        <v>765</v>
      </c>
      <c r="B996" s="4">
        <v>45579</v>
      </c>
      <c r="C996" t="s">
        <v>13</v>
      </c>
      <c r="D996" t="s">
        <v>29</v>
      </c>
      <c r="E996" t="s">
        <v>15</v>
      </c>
      <c r="F996" t="s">
        <v>40</v>
      </c>
      <c r="G996" t="s">
        <v>690</v>
      </c>
      <c r="H996">
        <v>215.09</v>
      </c>
      <c r="I996">
        <v>64.5</v>
      </c>
      <c r="J996">
        <v>10</v>
      </c>
      <c r="K996" t="s">
        <v>18</v>
      </c>
      <c r="L996" t="s">
        <v>61</v>
      </c>
    </row>
    <row r="997" spans="1:12" x14ac:dyDescent="0.35">
      <c r="A997" t="s">
        <v>531</v>
      </c>
      <c r="B997" s="4">
        <v>45351</v>
      </c>
      <c r="C997" t="s">
        <v>21</v>
      </c>
      <c r="D997" t="s">
        <v>22</v>
      </c>
      <c r="E997" t="s">
        <v>15</v>
      </c>
      <c r="F997" t="s">
        <v>30</v>
      </c>
      <c r="G997" t="s">
        <v>31</v>
      </c>
      <c r="H997">
        <v>208.34</v>
      </c>
      <c r="I997">
        <v>23.06</v>
      </c>
      <c r="J997">
        <v>6</v>
      </c>
      <c r="K997" t="s">
        <v>26</v>
      </c>
      <c r="L997" t="s">
        <v>42</v>
      </c>
    </row>
    <row r="998" spans="1:12" x14ac:dyDescent="0.35">
      <c r="A998" t="s">
        <v>610</v>
      </c>
      <c r="B998" s="4">
        <v>45424</v>
      </c>
      <c r="C998" t="s">
        <v>13</v>
      </c>
      <c r="D998" t="s">
        <v>29</v>
      </c>
      <c r="E998" t="s">
        <v>15</v>
      </c>
      <c r="F998" t="s">
        <v>40</v>
      </c>
      <c r="G998" t="s">
        <v>144</v>
      </c>
      <c r="H998">
        <v>204.14</v>
      </c>
      <c r="I998">
        <v>66.63</v>
      </c>
      <c r="J998">
        <v>8</v>
      </c>
      <c r="K998" t="s">
        <v>32</v>
      </c>
      <c r="L998" t="s">
        <v>61</v>
      </c>
    </row>
    <row r="999" spans="1:12" x14ac:dyDescent="0.35">
      <c r="A999" t="s">
        <v>619</v>
      </c>
      <c r="B999" s="4">
        <v>45646</v>
      </c>
      <c r="C999" t="s">
        <v>21</v>
      </c>
      <c r="D999" t="s">
        <v>134</v>
      </c>
      <c r="E999" t="s">
        <v>23</v>
      </c>
      <c r="F999" t="s">
        <v>24</v>
      </c>
      <c r="G999" t="s">
        <v>123</v>
      </c>
      <c r="H999">
        <v>202.83</v>
      </c>
      <c r="I999">
        <v>19.91</v>
      </c>
      <c r="J999">
        <v>8</v>
      </c>
      <c r="K999" t="s">
        <v>26</v>
      </c>
      <c r="L999" t="s">
        <v>58</v>
      </c>
    </row>
    <row r="1000" spans="1:12" x14ac:dyDescent="0.35">
      <c r="A1000" t="s">
        <v>509</v>
      </c>
      <c r="B1000" s="4">
        <v>45476</v>
      </c>
      <c r="C1000" t="s">
        <v>13</v>
      </c>
      <c r="D1000" t="s">
        <v>82</v>
      </c>
      <c r="E1000" t="s">
        <v>51</v>
      </c>
      <c r="F1000" t="s">
        <v>74</v>
      </c>
      <c r="G1000" t="s">
        <v>305</v>
      </c>
      <c r="H1000">
        <v>202.48</v>
      </c>
      <c r="I1000">
        <v>37.28</v>
      </c>
      <c r="J1000">
        <v>8</v>
      </c>
      <c r="K1000" t="s">
        <v>26</v>
      </c>
      <c r="L1000" t="s">
        <v>42</v>
      </c>
    </row>
    <row r="1001" spans="1:12" x14ac:dyDescent="0.35">
      <c r="A1001" t="s">
        <v>536</v>
      </c>
      <c r="B1001" s="4">
        <v>45611</v>
      </c>
      <c r="C1001" t="s">
        <v>46</v>
      </c>
      <c r="D1001" t="s">
        <v>47</v>
      </c>
      <c r="E1001" t="s">
        <v>23</v>
      </c>
      <c r="F1001" t="s">
        <v>24</v>
      </c>
      <c r="G1001" t="s">
        <v>169</v>
      </c>
      <c r="H1001">
        <v>200.2</v>
      </c>
      <c r="I1001">
        <v>15.33</v>
      </c>
      <c r="J1001">
        <v>5</v>
      </c>
      <c r="K1001" t="s">
        <v>32</v>
      </c>
      <c r="L1001" t="s">
        <v>42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5266-9541-4EA7-99A5-FCB58EED6CE2}">
  <dimension ref="A3:F4"/>
  <sheetViews>
    <sheetView workbookViewId="0">
      <selection activeCell="C4" sqref="C4"/>
    </sheetView>
  </sheetViews>
  <sheetFormatPr defaultRowHeight="14.5" x14ac:dyDescent="0.35"/>
  <cols>
    <col min="1" max="1" width="14.453125" bestFit="1" customWidth="1"/>
    <col min="2" max="2" width="15" bestFit="1" customWidth="1"/>
    <col min="3" max="3" width="11.26953125" bestFit="1" customWidth="1"/>
    <col min="4" max="4" width="15.81640625" bestFit="1" customWidth="1"/>
    <col min="5" max="5" width="11.81640625" bestFit="1" customWidth="1"/>
    <col min="6" max="6" width="14.54296875" bestFit="1" customWidth="1"/>
  </cols>
  <sheetData>
    <row r="3" spans="1:6" x14ac:dyDescent="0.35">
      <c r="A3" t="s">
        <v>1236</v>
      </c>
      <c r="B3" t="s">
        <v>1237</v>
      </c>
      <c r="C3" t="s">
        <v>1230</v>
      </c>
      <c r="D3" t="s">
        <v>1235</v>
      </c>
      <c r="E3" t="s">
        <v>1231</v>
      </c>
      <c r="F3" t="s">
        <v>1232</v>
      </c>
    </row>
    <row r="4" spans="1:6" x14ac:dyDescent="0.35">
      <c r="A4" s="1">
        <v>2570.2663499999985</v>
      </c>
      <c r="B4" s="1">
        <v>507.71346999999986</v>
      </c>
      <c r="C4" s="1">
        <v>2570266.3499999987</v>
      </c>
      <c r="D4" s="1">
        <v>1000</v>
      </c>
      <c r="E4" s="1">
        <v>507713.46999999986</v>
      </c>
      <c r="F4" s="1">
        <v>5587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9360-06C2-4CF2-BCE3-E6AF59B0BD48}">
  <dimension ref="A3:B8"/>
  <sheetViews>
    <sheetView workbookViewId="0">
      <selection activeCell="F28" sqref="F28"/>
    </sheetView>
  </sheetViews>
  <sheetFormatPr defaultRowHeight="14.5" x14ac:dyDescent="0.35"/>
  <cols>
    <col min="1" max="1" width="12.36328125" bestFit="1" customWidth="1"/>
    <col min="2" max="2" width="11.81640625" bestFit="1" customWidth="1"/>
  </cols>
  <sheetData>
    <row r="3" spans="1:2" x14ac:dyDescent="0.35">
      <c r="A3" s="2" t="s">
        <v>1233</v>
      </c>
      <c r="B3" t="s">
        <v>1231</v>
      </c>
    </row>
    <row r="4" spans="1:2" x14ac:dyDescent="0.35">
      <c r="A4" s="3" t="s">
        <v>35</v>
      </c>
      <c r="B4" s="1">
        <v>113688.55000000002</v>
      </c>
    </row>
    <row r="5" spans="1:2" x14ac:dyDescent="0.35">
      <c r="A5" s="3" t="s">
        <v>13</v>
      </c>
      <c r="B5" s="1">
        <v>137835.59000000005</v>
      </c>
    </row>
    <row r="6" spans="1:2" x14ac:dyDescent="0.35">
      <c r="A6" s="3" t="s">
        <v>21</v>
      </c>
      <c r="B6" s="1">
        <v>117662.43000000007</v>
      </c>
    </row>
    <row r="7" spans="1:2" x14ac:dyDescent="0.35">
      <c r="A7" s="3" t="s">
        <v>46</v>
      </c>
      <c r="B7" s="1">
        <v>138526.89999999997</v>
      </c>
    </row>
    <row r="8" spans="1:2" x14ac:dyDescent="0.35">
      <c r="A8" s="3" t="s">
        <v>1234</v>
      </c>
      <c r="B8" s="1">
        <v>507713.47000000009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50A3-305C-43D3-B11E-4CF580B2B3D2}">
  <dimension ref="A3:B14"/>
  <sheetViews>
    <sheetView workbookViewId="0">
      <selection activeCell="B18" sqref="B18"/>
    </sheetView>
  </sheetViews>
  <sheetFormatPr defaultRowHeight="14.5" x14ac:dyDescent="0.35"/>
  <cols>
    <col min="1" max="1" width="17.08984375" bestFit="1" customWidth="1"/>
    <col min="2" max="2" width="11.26953125" bestFit="1" customWidth="1"/>
  </cols>
  <sheetData>
    <row r="3" spans="1:2" x14ac:dyDescent="0.35">
      <c r="A3" s="2" t="s">
        <v>1233</v>
      </c>
      <c r="B3" t="s">
        <v>1230</v>
      </c>
    </row>
    <row r="4" spans="1:2" x14ac:dyDescent="0.35">
      <c r="A4" s="3" t="s">
        <v>294</v>
      </c>
      <c r="B4" s="1">
        <v>29213.760000000002</v>
      </c>
    </row>
    <row r="5" spans="1:2" x14ac:dyDescent="0.35">
      <c r="A5" s="3" t="s">
        <v>593</v>
      </c>
      <c r="B5" s="1">
        <v>32568.659999999996</v>
      </c>
    </row>
    <row r="6" spans="1:2" x14ac:dyDescent="0.35">
      <c r="A6" s="3" t="s">
        <v>396</v>
      </c>
      <c r="B6" s="1">
        <v>28418.639999999999</v>
      </c>
    </row>
    <row r="7" spans="1:2" x14ac:dyDescent="0.35">
      <c r="A7" s="3" t="s">
        <v>224</v>
      </c>
      <c r="B7" s="1">
        <v>31748.309999999998</v>
      </c>
    </row>
    <row r="8" spans="1:2" x14ac:dyDescent="0.35">
      <c r="A8" s="3" t="s">
        <v>149</v>
      </c>
      <c r="B8" s="1">
        <v>31326.249999999996</v>
      </c>
    </row>
    <row r="9" spans="1:2" x14ac:dyDescent="0.35">
      <c r="A9" s="3" t="s">
        <v>281</v>
      </c>
      <c r="B9" s="1">
        <v>33259.96</v>
      </c>
    </row>
    <row r="10" spans="1:2" x14ac:dyDescent="0.35">
      <c r="A10" s="3" t="s">
        <v>103</v>
      </c>
      <c r="B10" s="1">
        <v>33591.33</v>
      </c>
    </row>
    <row r="11" spans="1:2" x14ac:dyDescent="0.35">
      <c r="A11" s="3" t="s">
        <v>176</v>
      </c>
      <c r="B11" s="1">
        <v>29040.120000000003</v>
      </c>
    </row>
    <row r="12" spans="1:2" x14ac:dyDescent="0.35">
      <c r="A12" s="3" t="s">
        <v>144</v>
      </c>
      <c r="B12" s="1">
        <v>29676.34</v>
      </c>
    </row>
    <row r="13" spans="1:2" x14ac:dyDescent="0.35">
      <c r="A13" s="3" t="s">
        <v>201</v>
      </c>
      <c r="B13" s="1">
        <v>27877.760000000002</v>
      </c>
    </row>
    <row r="14" spans="1:2" x14ac:dyDescent="0.35">
      <c r="A14" s="3" t="s">
        <v>1234</v>
      </c>
      <c r="B14" s="1">
        <v>306721.13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2B304-13DD-4B3A-ACFA-BF65272ADA1A}">
  <dimension ref="A3:B7"/>
  <sheetViews>
    <sheetView workbookViewId="0">
      <selection activeCell="L12" sqref="L12"/>
    </sheetView>
  </sheetViews>
  <sheetFormatPr defaultRowHeight="14.5" x14ac:dyDescent="0.35"/>
  <cols>
    <col min="1" max="1" width="13.1796875" bestFit="1" customWidth="1"/>
    <col min="2" max="2" width="11.26953125" bestFit="1" customWidth="1"/>
  </cols>
  <sheetData>
    <row r="3" spans="1:2" x14ac:dyDescent="0.35">
      <c r="A3" s="2" t="s">
        <v>1233</v>
      </c>
      <c r="B3" t="s">
        <v>1230</v>
      </c>
    </row>
    <row r="4" spans="1:2" x14ac:dyDescent="0.35">
      <c r="A4" s="3" t="s">
        <v>51</v>
      </c>
      <c r="B4" s="1">
        <v>932164.79</v>
      </c>
    </row>
    <row r="5" spans="1:2" x14ac:dyDescent="0.35">
      <c r="A5" s="3" t="s">
        <v>23</v>
      </c>
      <c r="B5" s="1">
        <v>775397.8000000004</v>
      </c>
    </row>
    <row r="6" spans="1:2" x14ac:dyDescent="0.35">
      <c r="A6" s="3" t="s">
        <v>15</v>
      </c>
      <c r="B6" s="1">
        <v>862703.75999999966</v>
      </c>
    </row>
    <row r="7" spans="1:2" x14ac:dyDescent="0.35">
      <c r="A7" s="3" t="s">
        <v>1234</v>
      </c>
      <c r="B7" s="1">
        <v>2570266.35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8E3A-6466-44A1-BBAC-45D4EBDB0EE3}">
  <dimension ref="A3:B7"/>
  <sheetViews>
    <sheetView topLeftCell="A2" workbookViewId="0">
      <selection activeCell="M10" sqref="M10"/>
    </sheetView>
  </sheetViews>
  <sheetFormatPr defaultRowHeight="14.5" x14ac:dyDescent="0.35"/>
  <cols>
    <col min="1" max="1" width="12.36328125" bestFit="1" customWidth="1"/>
    <col min="2" max="2" width="11.26953125" bestFit="1" customWidth="1"/>
  </cols>
  <sheetData>
    <row r="3" spans="1:2" x14ac:dyDescent="0.35">
      <c r="A3" s="2" t="s">
        <v>1233</v>
      </c>
      <c r="B3" t="s">
        <v>1230</v>
      </c>
    </row>
    <row r="4" spans="1:2" x14ac:dyDescent="0.35">
      <c r="A4" s="3" t="s">
        <v>35</v>
      </c>
      <c r="B4" s="1">
        <v>591106.01</v>
      </c>
    </row>
    <row r="5" spans="1:2" x14ac:dyDescent="0.35">
      <c r="A5" s="3" t="s">
        <v>13</v>
      </c>
      <c r="B5" s="1">
        <v>667690.63000000035</v>
      </c>
    </row>
    <row r="6" spans="1:2" x14ac:dyDescent="0.35">
      <c r="A6" s="3" t="s">
        <v>21</v>
      </c>
      <c r="B6" s="1">
        <v>612005.79000000027</v>
      </c>
    </row>
    <row r="7" spans="1:2" x14ac:dyDescent="0.35">
      <c r="A7" s="3" t="s">
        <v>46</v>
      </c>
      <c r="B7" s="1">
        <v>699463.92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A01C-9B92-43F1-BE19-8164DED72F96}">
  <dimension ref="A1:AA37"/>
  <sheetViews>
    <sheetView showGridLines="0" tabSelected="1" zoomScale="90" workbookViewId="0">
      <selection activeCell="J8" sqref="J8"/>
    </sheetView>
  </sheetViews>
  <sheetFormatPr defaultRowHeight="14.5" x14ac:dyDescent="0.35"/>
  <sheetData>
    <row r="1" spans="1:27" ht="31" x14ac:dyDescent="0.7">
      <c r="A1" s="12" t="s">
        <v>1238</v>
      </c>
      <c r="B1" s="12"/>
      <c r="C1" s="12"/>
      <c r="D1" s="12"/>
      <c r="E1" s="12"/>
      <c r="F1" s="12"/>
      <c r="G1" s="12"/>
      <c r="H1" s="12"/>
      <c r="I1" s="12"/>
      <c r="J1" s="12"/>
      <c r="K1" s="12"/>
      <c r="L1" s="12"/>
      <c r="M1" s="12"/>
      <c r="N1" s="12"/>
      <c r="O1" s="12"/>
      <c r="P1" s="12"/>
      <c r="Q1" s="12"/>
      <c r="R1" s="5"/>
      <c r="S1" s="5"/>
      <c r="T1" s="5"/>
      <c r="U1" s="5"/>
      <c r="V1" s="5"/>
      <c r="W1" s="5"/>
      <c r="X1" s="5"/>
      <c r="Y1" s="5"/>
      <c r="Z1" s="5"/>
      <c r="AA1" s="5"/>
    </row>
    <row r="2" spans="1:27" x14ac:dyDescent="0.35">
      <c r="A2" s="5"/>
      <c r="B2" s="5"/>
      <c r="C2" s="5"/>
      <c r="D2" s="5"/>
      <c r="E2" s="5"/>
      <c r="F2" s="5"/>
      <c r="G2" s="5"/>
      <c r="H2" s="5"/>
      <c r="I2" s="5"/>
      <c r="J2" s="5"/>
      <c r="K2" s="5"/>
      <c r="L2" s="5"/>
      <c r="M2" s="5"/>
      <c r="N2" s="5"/>
      <c r="O2" s="5"/>
      <c r="P2" s="5"/>
      <c r="Q2" s="5"/>
      <c r="R2" s="5"/>
      <c r="S2" s="5"/>
      <c r="T2" s="5"/>
      <c r="U2" s="5"/>
      <c r="V2" s="5"/>
      <c r="W2" s="5"/>
      <c r="X2" s="5"/>
      <c r="Y2" s="5"/>
      <c r="Z2" s="5"/>
      <c r="AA2" s="5"/>
    </row>
    <row r="3" spans="1:27" x14ac:dyDescent="0.35">
      <c r="A3" s="5"/>
      <c r="B3" s="5"/>
      <c r="C3" s="5"/>
      <c r="D3" s="5"/>
      <c r="E3" s="5"/>
      <c r="F3" s="5"/>
      <c r="G3" s="5"/>
      <c r="H3" s="5"/>
      <c r="I3" s="5"/>
      <c r="J3" s="5"/>
      <c r="K3" s="5"/>
      <c r="L3" s="5"/>
      <c r="M3" s="5"/>
      <c r="N3" s="5"/>
      <c r="O3" s="5"/>
      <c r="P3" s="5"/>
      <c r="Q3" s="5"/>
      <c r="R3" s="5"/>
      <c r="S3" s="5"/>
      <c r="T3" s="5"/>
      <c r="U3" s="5"/>
      <c r="V3" s="5"/>
      <c r="W3" s="5"/>
      <c r="X3" s="5"/>
      <c r="Y3" s="5"/>
      <c r="Z3" s="5"/>
      <c r="AA3" s="5"/>
    </row>
    <row r="4" spans="1:27" ht="14.5" customHeight="1" x14ac:dyDescent="0.35">
      <c r="A4" s="8" t="s">
        <v>1244</v>
      </c>
      <c r="B4" s="8"/>
      <c r="C4" s="8"/>
      <c r="D4" s="6"/>
      <c r="E4" s="11" t="s">
        <v>1239</v>
      </c>
      <c r="F4" s="11"/>
      <c r="G4" s="11"/>
      <c r="H4" s="6"/>
      <c r="I4" s="11" t="s">
        <v>1240</v>
      </c>
      <c r="J4" s="11"/>
      <c r="K4" s="11"/>
      <c r="L4" s="5"/>
      <c r="M4" s="5"/>
      <c r="N4" s="5"/>
      <c r="O4" s="5"/>
      <c r="P4" s="5"/>
      <c r="Q4" s="5"/>
      <c r="R4" s="5"/>
      <c r="S4" s="5"/>
      <c r="T4" s="5"/>
      <c r="U4" s="5"/>
      <c r="V4" s="5"/>
      <c r="W4" s="5"/>
      <c r="X4" s="5"/>
      <c r="Y4" s="5"/>
      <c r="Z4" s="5"/>
      <c r="AA4" s="5"/>
    </row>
    <row r="5" spans="1:27" x14ac:dyDescent="0.35">
      <c r="A5" s="9">
        <f>GETPIVOTDATA("Sum of Sales",'KPIS OF SALES '!$A$3)</f>
        <v>2570266.3499999987</v>
      </c>
      <c r="B5" s="9"/>
      <c r="C5" s="9"/>
      <c r="D5" s="6"/>
      <c r="E5" s="9">
        <f>GETPIVOTDATA("Sum of Profit",'KPIS OF SALES '!$A$3)</f>
        <v>507713.46999999986</v>
      </c>
      <c r="F5" s="9"/>
      <c r="G5" s="9"/>
      <c r="H5" s="6"/>
      <c r="I5" s="11">
        <f>GETPIVOTDATA("Count of Order ID",'KPIS OF SALES '!$A$3)</f>
        <v>1000</v>
      </c>
      <c r="J5" s="11"/>
      <c r="K5" s="11"/>
      <c r="L5" s="5"/>
      <c r="M5" s="5"/>
      <c r="N5" s="5"/>
      <c r="O5" s="5"/>
      <c r="P5" s="5"/>
      <c r="Q5" s="5"/>
      <c r="R5" s="5"/>
      <c r="S5" s="5"/>
      <c r="T5" s="5"/>
      <c r="U5" s="5"/>
      <c r="V5" s="5"/>
      <c r="W5" s="5"/>
      <c r="X5" s="5"/>
      <c r="Y5" s="5"/>
      <c r="Z5" s="5"/>
      <c r="AA5" s="5"/>
    </row>
    <row r="6" spans="1:27" x14ac:dyDescent="0.35">
      <c r="A6" s="10"/>
      <c r="B6" s="10"/>
      <c r="C6" s="10"/>
      <c r="D6" s="6"/>
      <c r="E6" s="10"/>
      <c r="F6" s="10"/>
      <c r="G6" s="10"/>
      <c r="H6" s="6"/>
      <c r="I6" s="10"/>
      <c r="J6" s="10"/>
      <c r="K6" s="10"/>
      <c r="L6" s="5"/>
      <c r="M6" s="5"/>
      <c r="N6" s="5"/>
      <c r="O6" s="5"/>
      <c r="P6" s="5"/>
      <c r="Q6" s="5"/>
      <c r="R6" s="5"/>
      <c r="S6" s="5"/>
      <c r="T6" s="5"/>
      <c r="U6" s="5"/>
      <c r="V6" s="5"/>
      <c r="W6" s="5"/>
      <c r="X6" s="5"/>
      <c r="Y6" s="5"/>
      <c r="Z6" s="5"/>
      <c r="AA6" s="5"/>
    </row>
    <row r="7" spans="1:27" x14ac:dyDescent="0.35">
      <c r="A7" s="6"/>
      <c r="B7" s="6"/>
      <c r="C7" s="6"/>
      <c r="D7" s="6"/>
      <c r="E7" s="6"/>
      <c r="F7" s="6"/>
      <c r="G7" s="6"/>
      <c r="H7" s="6"/>
      <c r="I7" s="6"/>
      <c r="J7" s="6"/>
      <c r="K7" s="6"/>
      <c r="L7" s="5"/>
      <c r="M7" s="5"/>
      <c r="N7" s="5"/>
      <c r="O7" s="5"/>
      <c r="P7" s="5"/>
      <c r="Q7" s="5"/>
      <c r="R7" s="5"/>
      <c r="S7" s="5"/>
      <c r="T7" s="5"/>
      <c r="U7" s="5"/>
      <c r="V7" s="5"/>
      <c r="W7" s="5"/>
      <c r="X7" s="5"/>
      <c r="Y7" s="5"/>
      <c r="Z7" s="5"/>
      <c r="AA7" s="5"/>
    </row>
    <row r="8" spans="1:27" x14ac:dyDescent="0.35">
      <c r="A8" s="6"/>
      <c r="B8" s="6"/>
      <c r="C8" s="6"/>
      <c r="D8" s="6"/>
      <c r="E8" s="6"/>
      <c r="F8" s="6"/>
      <c r="G8" s="6"/>
      <c r="H8" s="6"/>
      <c r="I8" s="6"/>
      <c r="J8" s="6"/>
      <c r="K8" s="6"/>
      <c r="L8" s="5"/>
      <c r="M8" s="5"/>
      <c r="N8" s="5"/>
      <c r="O8" s="5"/>
      <c r="P8" s="5"/>
      <c r="Q8" s="5"/>
      <c r="R8" s="5"/>
      <c r="S8" s="5"/>
      <c r="T8" s="5"/>
      <c r="U8" s="5"/>
      <c r="V8" s="5"/>
      <c r="W8" s="5"/>
      <c r="X8" s="5"/>
      <c r="Y8" s="5"/>
      <c r="Z8" s="5"/>
      <c r="AA8" s="5"/>
    </row>
    <row r="9" spans="1:27" x14ac:dyDescent="0.35">
      <c r="A9" s="6"/>
      <c r="B9" s="6"/>
      <c r="C9" s="6"/>
      <c r="D9" s="6"/>
      <c r="E9" s="6"/>
      <c r="F9" s="6"/>
      <c r="G9" s="6"/>
      <c r="H9" s="6"/>
      <c r="I9" s="6"/>
      <c r="J9" s="6"/>
      <c r="K9" s="6"/>
      <c r="L9" s="5"/>
      <c r="M9" s="5"/>
      <c r="N9" s="5"/>
      <c r="O9" s="5"/>
      <c r="P9" s="5"/>
      <c r="Q9" s="5"/>
      <c r="R9" s="5"/>
      <c r="S9" s="5"/>
      <c r="T9" s="5"/>
      <c r="U9" s="5"/>
      <c r="V9" s="5"/>
      <c r="W9" s="5"/>
      <c r="X9" s="5"/>
      <c r="Y9" s="5"/>
      <c r="Z9" s="5"/>
      <c r="AA9" s="5"/>
    </row>
    <row r="10" spans="1:27" x14ac:dyDescent="0.35">
      <c r="A10" s="11" t="s">
        <v>1241</v>
      </c>
      <c r="B10" s="11"/>
      <c r="C10" s="11"/>
      <c r="D10" s="6"/>
      <c r="E10" s="11" t="s">
        <v>1242</v>
      </c>
      <c r="F10" s="11"/>
      <c r="G10" s="11"/>
      <c r="H10" s="6"/>
      <c r="I10" s="11" t="s">
        <v>1243</v>
      </c>
      <c r="J10" s="11"/>
      <c r="K10" s="11"/>
      <c r="L10" s="7"/>
      <c r="M10" s="5"/>
      <c r="N10" s="5"/>
      <c r="O10" s="5"/>
      <c r="P10" s="5"/>
      <c r="Q10" s="5"/>
      <c r="R10" s="5"/>
      <c r="S10" s="5"/>
      <c r="T10" s="5"/>
      <c r="U10" s="5"/>
      <c r="V10" s="5"/>
      <c r="W10" s="5"/>
      <c r="X10" s="5"/>
      <c r="Y10" s="5"/>
      <c r="Z10" s="5"/>
      <c r="AA10" s="5"/>
    </row>
    <row r="11" spans="1:27" x14ac:dyDescent="0.35">
      <c r="A11" s="11">
        <f>GETPIVOTDATA("Sum of Quantity",'KPIS OF SALES '!$A$3)</f>
        <v>5587</v>
      </c>
      <c r="B11" s="11"/>
      <c r="C11" s="11"/>
      <c r="D11" s="6"/>
      <c r="E11" s="11">
        <f>GETPIVOTDATA("Average of Sales",'KPIS OF SALES '!$A$3)</f>
        <v>2570.2663499999985</v>
      </c>
      <c r="F11" s="11"/>
      <c r="G11" s="11"/>
      <c r="H11" s="6"/>
      <c r="I11" s="11">
        <f>GETPIVOTDATA("Average of Profit",'KPIS OF SALES '!$A$3)</f>
        <v>507.71346999999986</v>
      </c>
      <c r="J11" s="11"/>
      <c r="K11" s="11"/>
      <c r="L11" s="7"/>
      <c r="M11" s="5"/>
      <c r="N11" s="5"/>
      <c r="O11" s="5"/>
      <c r="P11" s="5"/>
      <c r="Q11" s="5"/>
      <c r="R11" s="5"/>
      <c r="S11" s="5"/>
      <c r="T11" s="5"/>
      <c r="U11" s="5"/>
      <c r="V11" s="5"/>
      <c r="W11" s="5"/>
      <c r="X11" s="5"/>
      <c r="Y11" s="5"/>
      <c r="Z11" s="5"/>
      <c r="AA11" s="5"/>
    </row>
    <row r="12" spans="1:27" x14ac:dyDescent="0.35">
      <c r="A12" s="10"/>
      <c r="B12" s="10"/>
      <c r="C12" s="10"/>
      <c r="D12" s="6"/>
      <c r="E12" s="10"/>
      <c r="F12" s="10"/>
      <c r="G12" s="10"/>
      <c r="H12" s="6"/>
      <c r="I12" s="10"/>
      <c r="J12" s="10"/>
      <c r="K12" s="10"/>
      <c r="L12" s="7"/>
      <c r="M12" s="5"/>
      <c r="N12" s="5"/>
      <c r="O12" s="5"/>
      <c r="P12" s="5"/>
      <c r="Q12" s="5"/>
      <c r="R12" s="5"/>
      <c r="S12" s="5"/>
      <c r="T12" s="5"/>
      <c r="U12" s="5"/>
      <c r="V12" s="5"/>
      <c r="W12" s="5"/>
      <c r="X12" s="5"/>
      <c r="Y12" s="5"/>
      <c r="Z12" s="5"/>
      <c r="AA12" s="5"/>
    </row>
    <row r="13" spans="1:27" x14ac:dyDescent="0.35">
      <c r="A13" s="6"/>
      <c r="B13" s="6"/>
      <c r="C13" s="6"/>
      <c r="D13" s="6"/>
      <c r="E13" s="6"/>
      <c r="F13" s="6"/>
      <c r="G13" s="6"/>
      <c r="H13" s="6"/>
      <c r="I13" s="6"/>
      <c r="J13" s="6"/>
      <c r="K13" s="6"/>
      <c r="L13" s="7"/>
      <c r="M13" s="5"/>
      <c r="N13" s="5"/>
      <c r="O13" s="5"/>
      <c r="P13" s="5"/>
      <c r="Q13" s="5"/>
      <c r="R13" s="5"/>
      <c r="S13" s="5"/>
      <c r="T13" s="5"/>
      <c r="U13" s="5"/>
      <c r="V13" s="5"/>
      <c r="W13" s="5"/>
      <c r="X13" s="5"/>
      <c r="Y13" s="5"/>
      <c r="Z13" s="5"/>
      <c r="AA13" s="5"/>
    </row>
    <row r="14" spans="1:27" x14ac:dyDescent="0.35">
      <c r="A14" s="5"/>
      <c r="B14" s="5"/>
      <c r="C14" s="5"/>
      <c r="D14" s="5"/>
      <c r="E14" s="7"/>
      <c r="F14" s="7"/>
      <c r="G14" s="7"/>
      <c r="H14" s="5"/>
      <c r="I14" s="5"/>
      <c r="J14" s="5"/>
      <c r="K14" s="5"/>
      <c r="L14" s="5"/>
      <c r="M14" s="5"/>
      <c r="N14" s="5"/>
      <c r="O14" s="5"/>
      <c r="P14" s="5"/>
      <c r="Q14" s="5"/>
      <c r="R14" s="5"/>
      <c r="S14" s="5"/>
      <c r="T14" s="5"/>
      <c r="U14" s="5"/>
      <c r="V14" s="5"/>
      <c r="W14" s="5"/>
      <c r="X14" s="5"/>
      <c r="Y14" s="5"/>
      <c r="Z14" s="5"/>
      <c r="AA14" s="5"/>
    </row>
    <row r="15" spans="1:27" x14ac:dyDescent="0.3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row>
  </sheetData>
  <mergeCells count="13">
    <mergeCell ref="E10:G10"/>
    <mergeCell ref="E11:G11"/>
    <mergeCell ref="I10:K10"/>
    <mergeCell ref="I11:K11"/>
    <mergeCell ref="A1:Q1"/>
    <mergeCell ref="A4:C4"/>
    <mergeCell ref="A5:C5"/>
    <mergeCell ref="E4:G4"/>
    <mergeCell ref="E5:G5"/>
    <mergeCell ref="I4:K4"/>
    <mergeCell ref="I5:K5"/>
    <mergeCell ref="A10:C10"/>
    <mergeCell ref="A11:C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SalesData</vt:lpstr>
      <vt:lpstr>KPIS OF SALES </vt:lpstr>
      <vt:lpstr>Profit by Region </vt:lpstr>
      <vt:lpstr>TOP 10 PRODUCTS </vt:lpstr>
      <vt:lpstr>Sales by Category </vt:lpstr>
      <vt:lpstr>Sales by Regions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Trendzone India</cp:lastModifiedBy>
  <dcterms:created xsi:type="dcterms:W3CDTF">2026-06-27T08:18:26Z</dcterms:created>
  <dcterms:modified xsi:type="dcterms:W3CDTF">2026-06-27T11:24:49Z</dcterms:modified>
</cp:coreProperties>
</file>